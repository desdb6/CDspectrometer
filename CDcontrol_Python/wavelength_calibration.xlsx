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guser\Desktop\Des\CD\CDcontrol_Python\"/>
    </mc:Choice>
  </mc:AlternateContent>
  <xr:revisionPtr revIDLastSave="0" documentId="13_ncr:1_{0118F9F1-274B-41CF-8D1A-B29D3CED1179}" xr6:coauthVersionLast="47" xr6:coauthVersionMax="47" xr10:uidLastSave="{00000000-0000-0000-0000-000000000000}"/>
  <bookViews>
    <workbookView xWindow="11424" yWindow="0" windowWidth="11712" windowHeight="12336" tabRatio="500" xr2:uid="{00000000-000D-0000-FFFF-FFFF00000000}"/>
  </bookViews>
  <sheets>
    <sheet name="Wavelength Calibratio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5" i="1" l="1" a="1"/>
  <c r="P9" i="1"/>
  <c r="F11" i="1"/>
  <c r="F9" i="1"/>
  <c r="F8" i="1"/>
  <c r="F7" i="1"/>
  <c r="F6" i="1"/>
  <c r="F5" i="1"/>
  <c r="P7" i="1" l="1" a="1"/>
  <c r="P8" i="1" a="1"/>
  <c r="P6" i="1" a="1"/>
  <c r="D15" i="1"/>
  <c r="D12" i="1"/>
  <c r="D14" i="1"/>
  <c r="D13" i="1"/>
  <c r="D8" i="1"/>
  <c r="D11" i="1"/>
  <c r="D9" i="1"/>
  <c r="D10" i="1"/>
  <c r="D7" i="1"/>
  <c r="D6" i="1"/>
  <c r="D5" i="1"/>
  <c r="D16" i="1"/>
  <c r="P8" i="1" l="1"/>
  <c r="P7" i="1"/>
  <c r="P6" i="1"/>
  <c r="P5" i="1"/>
  <c r="N8" i="1" l="1"/>
  <c r="N12" i="1"/>
  <c r="N6" i="1"/>
  <c r="N5" i="1"/>
  <c r="N9" i="1"/>
  <c r="N15" i="1"/>
  <c r="N7" i="1"/>
  <c r="N16" i="1"/>
  <c r="N14" i="1"/>
  <c r="N13" i="1"/>
  <c r="N10" i="1"/>
  <c r="N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<sst xmlns="http://schemas.openxmlformats.org/spreadsheetml/2006/main" count="19" uniqueCount="10">
  <si>
    <t>Pixel Number (X)</t>
  </si>
  <si>
    <t>Wavelength [nm] (Y)</t>
  </si>
  <si>
    <t>Fitted Wavelength [nm]</t>
  </si>
  <si>
    <t>a3 (x^3 coeff.)</t>
  </si>
  <si>
    <t>a2 (x^2 coeff.)</t>
  </si>
  <si>
    <t>a1 (x coeff.)</t>
  </si>
  <si>
    <t>a0 (constant)</t>
  </si>
  <si>
    <t>R² (fit quality)</t>
  </si>
  <si>
    <t>N (points used)</t>
  </si>
  <si>
    <t>Wavelength Calibration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</si>
</sst>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808080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i/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wrapText="1"/>
    </xf>
    <xf numFmtId="0" fontId="4" fillId="3" borderId="1" xfId="0" applyFont="1" applyFill="1" applyBorder="1"/>
    <xf numFmtId="2" fontId="4" fillId="0" borderId="1" xfId="0" applyNumberFormat="1" applyFont="1" applyBorder="1"/>
    <xf numFmtId="0" fontId="4" fillId="0" borderId="0" xfId="0" applyFont="1"/>
    <xf numFmtId="164" fontId="4" fillId="0" borderId="1" xfId="0" applyNumberFormat="1" applyFont="1" applyBorder="1"/>
    <xf numFmtId="0" fontId="4" fillId="0" borderId="1" xfId="0" applyFont="1" applyBorder="1"/>
    <xf numFmtId="0" fontId="5" fillId="0" borderId="0" xfId="0" applyFont="1"/>
  </cellXfs>
  <cellStyles count="1">
    <cellStyle name="Normal" xfId="0" builtinId="0"/>
  </cellStyles>
  <dxfs count="3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fill>
        <patternFill patternType="solid">
          <fgColor rgb="FFFFFF00"/>
          <bgColor rgb="FFFFFF00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charset val="1"/>
        <scheme val="none"/>
      </font>
      <fill>
        <patternFill patternType="solid">
          <fgColor rgb="FFFFFF00"/>
          <bgColor rgb="FFFFFF00"/>
        </patternFill>
      </fill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3C992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Wavelength vs Pixel: Data vs Cubic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'Wavelength Calibration'!$C$4</c:f>
              <c:strCache>
                <c:ptCount val="1"/>
                <c:pt idx="0">
                  <c:v>Wavelength [nm] (Y)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Calibration'!$B$5:$B$16</c:f>
              <c:numCache>
                <c:formatCode>General</c:formatCode>
                <c:ptCount val="12"/>
                <c:pt idx="0">
                  <c:v>348</c:v>
                </c:pt>
                <c:pt idx="1">
                  <c:v>465</c:v>
                </c:pt>
                <c:pt idx="2">
                  <c:v>567</c:v>
                </c:pt>
                <c:pt idx="3">
                  <c:v>643</c:v>
                </c:pt>
                <c:pt idx="4">
                  <c:v>703</c:v>
                </c:pt>
                <c:pt idx="5">
                  <c:v>910</c:v>
                </c:pt>
                <c:pt idx="6">
                  <c:v>967</c:v>
                </c:pt>
                <c:pt idx="7">
                  <c:v>971</c:v>
                </c:pt>
                <c:pt idx="8">
                  <c:v>1186</c:v>
                </c:pt>
                <c:pt idx="9">
                  <c:v>1306</c:v>
                </c:pt>
                <c:pt idx="10">
                  <c:v>1392</c:v>
                </c:pt>
                <c:pt idx="11">
                  <c:v>1570</c:v>
                </c:pt>
              </c:numCache>
            </c:numRef>
          </c:xVal>
          <c:yVal>
            <c:numRef>
              <c:f>'Wavelength Calibration'!$C$5:$C$16</c:f>
              <c:numCache>
                <c:formatCode>General</c:formatCode>
                <c:ptCount val="12"/>
                <c:pt idx="0">
                  <c:v>253.7</c:v>
                </c:pt>
                <c:pt idx="1">
                  <c:v>313.2</c:v>
                </c:pt>
                <c:pt idx="2">
                  <c:v>365</c:v>
                </c:pt>
                <c:pt idx="3">
                  <c:v>404.7</c:v>
                </c:pt>
                <c:pt idx="4">
                  <c:v>435.8</c:v>
                </c:pt>
                <c:pt idx="5">
                  <c:v>546.1</c:v>
                </c:pt>
                <c:pt idx="6">
                  <c:v>577</c:v>
                </c:pt>
                <c:pt idx="7">
                  <c:v>579.1</c:v>
                </c:pt>
                <c:pt idx="8">
                  <c:v>696.5</c:v>
                </c:pt>
                <c:pt idx="9">
                  <c:v>763.5</c:v>
                </c:pt>
                <c:pt idx="10">
                  <c:v>811.5</c:v>
                </c:pt>
                <c:pt idx="11">
                  <c:v>912.3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D8-4A54-BDC7-63F10620988E}"/>
            </c:ext>
          </c:extLst>
        </c:ser>
        <c:ser>
          <c:idx val="1"/>
          <c:order val="1"/>
          <c:tx>
            <c:strRef>
              <c:f>'Wavelength Calibration'!$D$4</c:f>
              <c:strCache>
                <c:ptCount val="1"/>
                <c:pt idx="0">
                  <c:v>Fitted Wavelength [nm]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Calibration'!$B$5:$B$16</c:f>
              <c:numCache>
                <c:formatCode>General</c:formatCode>
                <c:ptCount val="12"/>
                <c:pt idx="0">
                  <c:v>348</c:v>
                </c:pt>
                <c:pt idx="1">
                  <c:v>465</c:v>
                </c:pt>
                <c:pt idx="2">
                  <c:v>567</c:v>
                </c:pt>
                <c:pt idx="3">
                  <c:v>643</c:v>
                </c:pt>
                <c:pt idx="4">
                  <c:v>703</c:v>
                </c:pt>
                <c:pt idx="5">
                  <c:v>910</c:v>
                </c:pt>
                <c:pt idx="6">
                  <c:v>967</c:v>
                </c:pt>
                <c:pt idx="7">
                  <c:v>971</c:v>
                </c:pt>
                <c:pt idx="8">
                  <c:v>1186</c:v>
                </c:pt>
                <c:pt idx="9">
                  <c:v>1306</c:v>
                </c:pt>
                <c:pt idx="10">
                  <c:v>1392</c:v>
                </c:pt>
                <c:pt idx="11">
                  <c:v>1570</c:v>
                </c:pt>
              </c:numCache>
            </c:numRef>
          </c:xVal>
          <c:yVal>
            <c:numRef>
              <c:f>'Wavelength Calibration'!$D$5:$D$16</c:f>
              <c:numCache>
                <c:formatCode>0.00</c:formatCode>
                <c:ptCount val="12"/>
                <c:pt idx="0">
                  <c:v>253.81293395756239</c:v>
                </c:pt>
                <c:pt idx="1">
                  <c:v>312.88200466473074</c:v>
                </c:pt>
                <c:pt idx="2">
                  <c:v>365.18213296559122</c:v>
                </c:pt>
                <c:pt idx="3">
                  <c:v>404.61694970064468</c:v>
                </c:pt>
                <c:pt idx="4">
                  <c:v>436.0207115321482</c:v>
                </c:pt>
                <c:pt idx="5">
                  <c:v>546.10038647810507</c:v>
                </c:pt>
                <c:pt idx="6">
                  <c:v>576.85959026523358</c:v>
                </c:pt>
                <c:pt idx="7">
                  <c:v>579.02504433965544</c:v>
                </c:pt>
                <c:pt idx="8">
                  <c:v>696.68449573958389</c:v>
                </c:pt>
                <c:pt idx="9">
                  <c:v>763.36491489377624</c:v>
                </c:pt>
                <c:pt idx="10">
                  <c:v>811.55874973639027</c:v>
                </c:pt>
                <c:pt idx="11">
                  <c:v>912.29208572657831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D8-4A54-BDC7-63F106209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1010"/>
        <c:axId val="27108011"/>
      </c:scatterChart>
      <c:valAx>
        <c:axId val="72910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Pixel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7108011"/>
        <c:crosses val="autoZero"/>
        <c:crossBetween val="midCat"/>
      </c:valAx>
      <c:valAx>
        <c:axId val="271080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Wavelength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72910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Wavelength vs Pixel: Data vs Cubic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'Wavelength Calibration'!$C$4</c:f>
              <c:strCache>
                <c:ptCount val="1"/>
                <c:pt idx="0">
                  <c:v>Wavelength [nm] (Y)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Calibration'!$L$5:$L$16</c:f>
              <c:numCache>
                <c:formatCode>General</c:formatCode>
                <c:ptCount val="1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</c:numCache>
            </c:numRef>
          </c:xVal>
          <c:yVal>
            <c:numRef>
              <c:f>'Wavelength Calibration'!$M$5:$M$16</c:f>
              <c:numCache>
                <c:formatCode>General</c:formatCode>
                <c:ptCount val="12"/>
                <c:pt idx="0">
                  <c:v>650</c:v>
                </c:pt>
                <c:pt idx="1">
                  <c:v>627</c:v>
                </c:pt>
                <c:pt idx="2">
                  <c:v>604</c:v>
                </c:pt>
                <c:pt idx="3">
                  <c:v>568</c:v>
                </c:pt>
                <c:pt idx="4">
                  <c:v>545</c:v>
                </c:pt>
                <c:pt idx="5">
                  <c:v>520</c:v>
                </c:pt>
                <c:pt idx="6">
                  <c:v>495</c:v>
                </c:pt>
                <c:pt idx="7">
                  <c:v>468</c:v>
                </c:pt>
                <c:pt idx="8">
                  <c:v>440</c:v>
                </c:pt>
                <c:pt idx="9">
                  <c:v>320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DFE-44AC-8542-1EE52D3E7114}"/>
            </c:ext>
          </c:extLst>
        </c:ser>
        <c:ser>
          <c:idx val="1"/>
          <c:order val="1"/>
          <c:tx>
            <c:strRef>
              <c:f>'Wavelength Calibration'!$D$4</c:f>
              <c:strCache>
                <c:ptCount val="1"/>
                <c:pt idx="0">
                  <c:v>Fitted Wavelength [nm]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Calibration'!$L$5:$L$16</c:f>
              <c:numCache>
                <c:formatCode>General</c:formatCode>
                <c:ptCount val="1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</c:numCache>
            </c:numRef>
          </c:xVal>
          <c:yVal>
            <c:numRef>
              <c:f>'Wavelength Calibration'!$N$5:$N$16</c:f>
              <c:numCache>
                <c:formatCode>0.00</c:formatCode>
                <c:ptCount val="12"/>
                <c:pt idx="0">
                  <c:v>649.96286502231158</c:v>
                </c:pt>
                <c:pt idx="1">
                  <c:v>626.92469714219919</c:v>
                </c:pt>
                <c:pt idx="2">
                  <c:v>604.37576545196771</c:v>
                </c:pt>
                <c:pt idx="3">
                  <c:v>567.58861726307009</c:v>
                </c:pt>
                <c:pt idx="4">
                  <c:v>544.94835170796046</c:v>
                </c:pt>
                <c:pt idx="5">
                  <c:v>520.22132243874262</c:v>
                </c:pt>
                <c:pt idx="6">
                  <c:v>494.85933684582454</c:v>
                </c:pt>
                <c:pt idx="7">
                  <c:v>468.31746888737894</c:v>
                </c:pt>
                <c:pt idx="8">
                  <c:v>439.79276961898074</c:v>
                </c:pt>
                <c:pt idx="9">
                  <c:v>320.00880562156465</c:v>
                </c:pt>
                <c:pt idx="10">
                  <c:v>160.48594554922158</c:v>
                </c:pt>
                <c:pt idx="11">
                  <c:v>160.48594554922158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FE-44AC-8542-1EE52D3E71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1010"/>
        <c:axId val="27108011"/>
      </c:scatterChart>
      <c:valAx>
        <c:axId val="72910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Pixel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7108011"/>
        <c:crosses val="autoZero"/>
        <c:crossBetween val="midCat"/>
      </c:valAx>
      <c:valAx>
        <c:axId val="271080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Wavelength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72910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Wavelength vs Pixel: Data vs Cubic 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v>Built in calibration data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'Wavelength Calibration'!$B$5:$B$16</c:f>
              <c:numCache>
                <c:formatCode>General</c:formatCode>
                <c:ptCount val="12"/>
                <c:pt idx="0">
                  <c:v>348</c:v>
                </c:pt>
                <c:pt idx="1">
                  <c:v>465</c:v>
                </c:pt>
                <c:pt idx="2">
                  <c:v>567</c:v>
                </c:pt>
                <c:pt idx="3">
                  <c:v>643</c:v>
                </c:pt>
                <c:pt idx="4">
                  <c:v>703</c:v>
                </c:pt>
                <c:pt idx="5">
                  <c:v>910</c:v>
                </c:pt>
                <c:pt idx="6">
                  <c:v>967</c:v>
                </c:pt>
                <c:pt idx="7">
                  <c:v>971</c:v>
                </c:pt>
                <c:pt idx="8">
                  <c:v>1186</c:v>
                </c:pt>
                <c:pt idx="9">
                  <c:v>1306</c:v>
                </c:pt>
                <c:pt idx="10">
                  <c:v>1392</c:v>
                </c:pt>
                <c:pt idx="11">
                  <c:v>1570</c:v>
                </c:pt>
              </c:numCache>
            </c:numRef>
          </c:xVal>
          <c:yVal>
            <c:numRef>
              <c:f>'Wavelength Calibration'!$C$5:$C$16</c:f>
              <c:numCache>
                <c:formatCode>General</c:formatCode>
                <c:ptCount val="12"/>
                <c:pt idx="0">
                  <c:v>253.7</c:v>
                </c:pt>
                <c:pt idx="1">
                  <c:v>313.2</c:v>
                </c:pt>
                <c:pt idx="2">
                  <c:v>365</c:v>
                </c:pt>
                <c:pt idx="3">
                  <c:v>404.7</c:v>
                </c:pt>
                <c:pt idx="4">
                  <c:v>435.8</c:v>
                </c:pt>
                <c:pt idx="5">
                  <c:v>546.1</c:v>
                </c:pt>
                <c:pt idx="6">
                  <c:v>577</c:v>
                </c:pt>
                <c:pt idx="7">
                  <c:v>579.1</c:v>
                </c:pt>
                <c:pt idx="8">
                  <c:v>696.5</c:v>
                </c:pt>
                <c:pt idx="9">
                  <c:v>763.5</c:v>
                </c:pt>
                <c:pt idx="10">
                  <c:v>811.5</c:v>
                </c:pt>
                <c:pt idx="11">
                  <c:v>912.3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FC21-41A1-8AD8-24EF512C9E61}"/>
            </c:ext>
          </c:extLst>
        </c:ser>
        <c:ser>
          <c:idx val="3"/>
          <c:order val="1"/>
          <c:tx>
            <c:v>Built in calibration fit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'Wavelength Calibration'!$B$5:$B$16</c:f>
              <c:numCache>
                <c:formatCode>General</c:formatCode>
                <c:ptCount val="12"/>
                <c:pt idx="0">
                  <c:v>348</c:v>
                </c:pt>
                <c:pt idx="1">
                  <c:v>465</c:v>
                </c:pt>
                <c:pt idx="2">
                  <c:v>567</c:v>
                </c:pt>
                <c:pt idx="3">
                  <c:v>643</c:v>
                </c:pt>
                <c:pt idx="4">
                  <c:v>703</c:v>
                </c:pt>
                <c:pt idx="5">
                  <c:v>910</c:v>
                </c:pt>
                <c:pt idx="6">
                  <c:v>967</c:v>
                </c:pt>
                <c:pt idx="7">
                  <c:v>971</c:v>
                </c:pt>
                <c:pt idx="8">
                  <c:v>1186</c:v>
                </c:pt>
                <c:pt idx="9">
                  <c:v>1306</c:v>
                </c:pt>
                <c:pt idx="10">
                  <c:v>1392</c:v>
                </c:pt>
                <c:pt idx="11">
                  <c:v>1570</c:v>
                </c:pt>
              </c:numCache>
            </c:numRef>
          </c:xVal>
          <c:yVal>
            <c:numRef>
              <c:f>'Wavelength Calibration'!$D$5:$D$16</c:f>
              <c:numCache>
                <c:formatCode>0.00</c:formatCode>
                <c:ptCount val="12"/>
                <c:pt idx="0">
                  <c:v>253.81293395756239</c:v>
                </c:pt>
                <c:pt idx="1">
                  <c:v>312.88200466473074</c:v>
                </c:pt>
                <c:pt idx="2">
                  <c:v>365.18213296559122</c:v>
                </c:pt>
                <c:pt idx="3">
                  <c:v>404.61694970064468</c:v>
                </c:pt>
                <c:pt idx="4">
                  <c:v>436.0207115321482</c:v>
                </c:pt>
                <c:pt idx="5">
                  <c:v>546.10038647810507</c:v>
                </c:pt>
                <c:pt idx="6">
                  <c:v>576.85959026523358</c:v>
                </c:pt>
                <c:pt idx="7">
                  <c:v>579.02504433965544</c:v>
                </c:pt>
                <c:pt idx="8">
                  <c:v>696.68449573958389</c:v>
                </c:pt>
                <c:pt idx="9">
                  <c:v>763.36491489377624</c:v>
                </c:pt>
                <c:pt idx="10">
                  <c:v>811.55874973639027</c:v>
                </c:pt>
                <c:pt idx="11">
                  <c:v>912.29208572657831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FC21-41A1-8AD8-24EF512C9E61}"/>
            </c:ext>
          </c:extLst>
        </c:ser>
        <c:ser>
          <c:idx val="0"/>
          <c:order val="2"/>
          <c:tx>
            <c:v>CD calibration data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Calibration'!$L$5:$L$16</c:f>
              <c:numCache>
                <c:formatCode>General</c:formatCode>
                <c:ptCount val="1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</c:numCache>
            </c:numRef>
          </c:xVal>
          <c:yVal>
            <c:numRef>
              <c:f>'Wavelength Calibration'!$M$5:$M$16</c:f>
              <c:numCache>
                <c:formatCode>General</c:formatCode>
                <c:ptCount val="12"/>
                <c:pt idx="0">
                  <c:v>650</c:v>
                </c:pt>
                <c:pt idx="1">
                  <c:v>627</c:v>
                </c:pt>
                <c:pt idx="2">
                  <c:v>604</c:v>
                </c:pt>
                <c:pt idx="3">
                  <c:v>568</c:v>
                </c:pt>
                <c:pt idx="4">
                  <c:v>545</c:v>
                </c:pt>
                <c:pt idx="5">
                  <c:v>520</c:v>
                </c:pt>
                <c:pt idx="6">
                  <c:v>495</c:v>
                </c:pt>
                <c:pt idx="7">
                  <c:v>468</c:v>
                </c:pt>
                <c:pt idx="8">
                  <c:v>440</c:v>
                </c:pt>
                <c:pt idx="9">
                  <c:v>320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C21-41A1-8AD8-24EF512C9E61}"/>
            </c:ext>
          </c:extLst>
        </c:ser>
        <c:ser>
          <c:idx val="1"/>
          <c:order val="3"/>
          <c:tx>
            <c:v>CD calibration fit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BE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'Wavelength Calibration'!$L$5:$L$16</c:f>
              <c:numCache>
                <c:formatCode>General</c:formatCode>
                <c:ptCount val="12"/>
                <c:pt idx="0">
                  <c:v>1786</c:v>
                </c:pt>
                <c:pt idx="1">
                  <c:v>1708</c:v>
                </c:pt>
                <c:pt idx="2">
                  <c:v>1631</c:v>
                </c:pt>
                <c:pt idx="3">
                  <c:v>1504</c:v>
                </c:pt>
                <c:pt idx="4">
                  <c:v>1425</c:v>
                </c:pt>
                <c:pt idx="5">
                  <c:v>1338</c:v>
                </c:pt>
                <c:pt idx="6">
                  <c:v>1248</c:v>
                </c:pt>
                <c:pt idx="7">
                  <c:v>1153</c:v>
                </c:pt>
                <c:pt idx="8">
                  <c:v>1050</c:v>
                </c:pt>
                <c:pt idx="9">
                  <c:v>608</c:v>
                </c:pt>
              </c:numCache>
            </c:numRef>
          </c:xVal>
          <c:yVal>
            <c:numRef>
              <c:f>'Wavelength Calibration'!$N$5:$N$16</c:f>
              <c:numCache>
                <c:formatCode>0.00</c:formatCode>
                <c:ptCount val="12"/>
                <c:pt idx="0">
                  <c:v>649.96286502231158</c:v>
                </c:pt>
                <c:pt idx="1">
                  <c:v>626.92469714219919</c:v>
                </c:pt>
                <c:pt idx="2">
                  <c:v>604.37576545196771</c:v>
                </c:pt>
                <c:pt idx="3">
                  <c:v>567.58861726307009</c:v>
                </c:pt>
                <c:pt idx="4">
                  <c:v>544.94835170796046</c:v>
                </c:pt>
                <c:pt idx="5">
                  <c:v>520.22132243874262</c:v>
                </c:pt>
                <c:pt idx="6">
                  <c:v>494.85933684582454</c:v>
                </c:pt>
                <c:pt idx="7">
                  <c:v>468.31746888737894</c:v>
                </c:pt>
                <c:pt idx="8">
                  <c:v>439.79276961898074</c:v>
                </c:pt>
                <c:pt idx="9">
                  <c:v>320.00880562156465</c:v>
                </c:pt>
                <c:pt idx="10">
                  <c:v>160.48594554922158</c:v>
                </c:pt>
                <c:pt idx="11">
                  <c:v>160.48594554922158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C21-41A1-8AD8-24EF512C9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91010"/>
        <c:axId val="27108011"/>
      </c:scatterChart>
      <c:valAx>
        <c:axId val="72910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Pixel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27108011"/>
        <c:crosses val="autoZero"/>
        <c:crossBetween val="midCat"/>
      </c:valAx>
      <c:valAx>
        <c:axId val="271080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Wavelength [nm]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B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BE"/>
          </a:p>
        </c:txPr>
        <c:crossAx val="729101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B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42</xdr:row>
      <xdr:rowOff>3675</xdr:rowOff>
    </xdr:from>
    <xdr:to>
      <xdr:col>4</xdr:col>
      <xdr:colOff>972165</xdr:colOff>
      <xdr:row>60</xdr:row>
      <xdr:rowOff>174375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12</xdr:col>
      <xdr:colOff>771525</xdr:colOff>
      <xdr:row>45</xdr:row>
      <xdr:rowOff>117975</xdr:rowOff>
    </xdr:from>
    <xdr:ext cx="6144240" cy="35997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94E355-298C-468C-8681-7C015AD18D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11</xdr:col>
      <xdr:colOff>43543</xdr:colOff>
      <xdr:row>16</xdr:row>
      <xdr:rowOff>81644</xdr:rowOff>
    </xdr:from>
    <xdr:to>
      <xdr:col>16</xdr:col>
      <xdr:colOff>76741</xdr:colOff>
      <xdr:row>35</xdr:row>
      <xdr:rowOff>61843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6F3E3F-85AF-4111-9A11-69741B4D2C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libData" displayName="CalibData" ref="B4:D16" totalsRowShown="0">
  <autoFilter ref="B4:D16" xr:uid="{00000000-0009-0000-0100-000001000000}"/>
  <tableColumns count="3">
    <tableColumn id="1" xr3:uid="{00000000-0010-0000-0000-000001000000}" name="Pixel Number (X)"/>
    <tableColumn id="2" xr3:uid="{00000000-0010-0000-0000-000002000000}" name="Wavelength [nm] (Y)"/>
    <tableColumn id="3" xr3:uid="{00000000-0010-0000-0000-000003000000}" name="Fitted Wavelength [nm]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C18372-B583-42F4-8F4E-BE2AF50AAC7B}" name="CalibData3" displayName="CalibData3" ref="L4:N16" totalsRowShown="0">
  <autoFilter ref="L4:N16" xr:uid="{D9C18372-B583-42F4-8F4E-BE2AF50AAC7B}"/>
  <tableColumns count="3">
    <tableColumn id="1" xr3:uid="{10163724-6C7E-460B-BFF8-B4C78224821D}" name="Pixel Number (X)" dataDxfId="2"/>
    <tableColumn id="2" xr3:uid="{90881FAE-4CA8-4278-A028-53B6A49AAC38}" name="Wavelength [nm] (Y)" dataDxfId="1"/>
    <tableColumn id="3" xr3:uid="{78A89D84-58C0-415B-B8F1-DA850D4314FA}" name="Fitted Wavelength [nm]" dataDxfId="0">
      <calculatedColumnFormula>$P$5*L5^3 + $P$6*L5^2 + $P$7*L5 + $P$8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16"/>
  <sheetViews>
    <sheetView tabSelected="1" topLeftCell="J1" zoomScale="85" zoomScaleNormal="85" workbookViewId="0">
      <selection activeCell="O16" sqref="O16"/>
    </sheetView>
  </sheetViews>
  <sheetFormatPr defaultColWidth="8.6640625" defaultRowHeight="14.4" x14ac:dyDescent="0.3"/>
  <cols>
    <col min="1" max="1" width="3" customWidth="1"/>
    <col min="2" max="2" width="32.5546875" bestFit="1" customWidth="1"/>
    <col min="3" max="3" width="17.6640625" bestFit="1" customWidth="1"/>
    <col min="4" max="4" width="24.33203125" bestFit="1" customWidth="1"/>
    <col min="5" max="5" width="15.33203125" bestFit="1" customWidth="1"/>
    <col min="6" max="6" width="10.77734375" bestFit="1" customWidth="1"/>
    <col min="7" max="8" width="10" customWidth="1"/>
    <col min="12" max="12" width="17.109375" bestFit="1" customWidth="1"/>
    <col min="13" max="14" width="17.77734375" bestFit="1" customWidth="1"/>
    <col min="15" max="15" width="15.33203125" bestFit="1" customWidth="1"/>
    <col min="16" max="16" width="12.21875" bestFit="1" customWidth="1"/>
  </cols>
  <sheetData>
    <row r="2" spans="2:21" ht="17.399999999999999" x14ac:dyDescent="0.3">
      <c r="B2" s="1" t="s">
        <v>9</v>
      </c>
    </row>
    <row r="4" spans="2:21" ht="42" x14ac:dyDescent="0.3">
      <c r="B4" s="3" t="s">
        <v>0</v>
      </c>
      <c r="C4" s="3" t="s">
        <v>1</v>
      </c>
      <c r="D4" s="3" t="s">
        <v>2</v>
      </c>
      <c r="L4" s="3" t="s">
        <v>0</v>
      </c>
      <c r="M4" s="3" t="s">
        <v>1</v>
      </c>
      <c r="N4" s="3" t="s">
        <v>2</v>
      </c>
    </row>
    <row r="5" spans="2:21" x14ac:dyDescent="0.3">
      <c r="B5" s="4">
        <v>348</v>
      </c>
      <c r="C5" s="4">
        <v>253.7</v>
      </c>
      <c r="D5" s="5">
        <f t="shared" ref="D5:D16" ca="1" si="0">$F$5*B5^3 + $F$6*B5^2 + $F$7*B5 + $F$8</f>
        <v>253.81293395756239</v>
      </c>
      <c r="E5" s="6" t="s">
        <v>3</v>
      </c>
      <c r="F5" s="7">
        <f ca="1">INDEX(LINEST(OFFSET($C$5,0,0,COUNT($C$5:$C$4997),1),OFFSET($B$5,0,0,COUNT($B$5:$B$4997),1)^{1,2,3}),1,1)</f>
        <v>-5.2175232839925515E-9</v>
      </c>
      <c r="L5" s="4">
        <v>1786</v>
      </c>
      <c r="M5" s="4">
        <v>650</v>
      </c>
      <c r="N5" s="5">
        <f t="shared" ref="N5:N16" ca="1" si="1">$P$5*L5^3 + $P$6*L5^2 + $P$7*L5 + $P$8</f>
        <v>649.96286502231158</v>
      </c>
      <c r="O5" s="6" t="s">
        <v>3</v>
      </c>
      <c r="P5" s="7" cm="1">
        <f t="array" aca="1" ref="P5" ca="1">INDEX(LINEST(OFFSET($M$5,0,0,COUNT($M$5:$M$4997),1),OFFSET($L$5,0,0,COUNT($L$5:$L$4997),1)^{1,2,3}),1,1)</f>
        <v>2.3143760517708634E-9</v>
      </c>
    </row>
    <row r="6" spans="2:21" x14ac:dyDescent="0.3">
      <c r="B6" s="4">
        <v>465</v>
      </c>
      <c r="C6" s="4">
        <v>313.2</v>
      </c>
      <c r="D6" s="5">
        <f t="shared" ca="1" si="0"/>
        <v>312.88200466473074</v>
      </c>
      <c r="E6" s="6" t="s">
        <v>4</v>
      </c>
      <c r="F6" s="7">
        <f ca="1">INDEX(LINEST(OFFSET($C$5,0,0,COUNT($C$5:$C$4997),1),OFFSET($B$5,0,0,COUNT($B$5:$B$4997),1)^{1,2,3}),1,2)</f>
        <v>4.3193349678799193E-5</v>
      </c>
      <c r="L6" s="4">
        <v>1708</v>
      </c>
      <c r="M6" s="4">
        <v>627</v>
      </c>
      <c r="N6" s="5">
        <f t="shared" ca="1" si="1"/>
        <v>626.92469714219919</v>
      </c>
      <c r="O6" s="6" t="s">
        <v>4</v>
      </c>
      <c r="P6" s="7" cm="1">
        <f t="array" aca="1" ref="P6" ca="1">INDEX(LINEST(OFFSET($M$5,0,0,COUNT($M$5:$M$4997),1),OFFSET($L$5,0,0,COUNT($L$5:$L$4997),1)^{1,2,3}),1,2)</f>
        <v>4.3830676624330535E-6</v>
      </c>
    </row>
    <row r="7" spans="2:21" x14ac:dyDescent="0.3">
      <c r="B7" s="4">
        <v>567</v>
      </c>
      <c r="C7" s="4">
        <v>365</v>
      </c>
      <c r="D7" s="5">
        <f t="shared" ca="1" si="0"/>
        <v>365.18213296559122</v>
      </c>
      <c r="E7" s="6" t="s">
        <v>5</v>
      </c>
      <c r="F7" s="7">
        <f ca="1">INDEX(LINEST(OFFSET($C$5,0,0,COUNT($C$5:$C$4997),1),OFFSET($B$5,0,0,COUNT($B$5:$B$4997),1)^{1,2,3}),1,3)</f>
        <v>0.4723519804388378</v>
      </c>
      <c r="L7" s="4">
        <v>1631</v>
      </c>
      <c r="M7" s="4">
        <v>604</v>
      </c>
      <c r="N7" s="5">
        <f t="shared" ca="1" si="1"/>
        <v>604.37576545196771</v>
      </c>
      <c r="O7" s="6" t="s">
        <v>5</v>
      </c>
      <c r="P7" s="7" cm="1">
        <f t="array" aca="1" ref="P7" ca="1">INDEX(LINEST(OFFSET($M$5,0,0,COUNT($M$5:$M$4997),1),OFFSET($L$5,0,0,COUNT($L$5:$L$4997),1)^{1,2,3}),1,3)</f>
        <v>0.25885267847142424</v>
      </c>
    </row>
    <row r="8" spans="2:21" x14ac:dyDescent="0.3">
      <c r="B8" s="4">
        <v>643</v>
      </c>
      <c r="C8" s="4">
        <v>404.7</v>
      </c>
      <c r="D8" s="5">
        <f t="shared" ca="1" si="0"/>
        <v>404.61694970064468</v>
      </c>
      <c r="E8" s="6" t="s">
        <v>6</v>
      </c>
      <c r="F8" s="7">
        <f ca="1">INDEX(LINEST(OFFSET($C$5,0,0,COUNT($C$5:$C$4997),1),OFFSET($B$5,0,0,COUNT($B$5:$B$4997),1)^{1,2,3}),1,4)</f>
        <v>84.423445648390597</v>
      </c>
      <c r="L8" s="4">
        <v>1504</v>
      </c>
      <c r="M8" s="4">
        <v>568</v>
      </c>
      <c r="N8" s="5">
        <f t="shared" ca="1" si="1"/>
        <v>567.58861726307009</v>
      </c>
      <c r="O8" s="6" t="s">
        <v>6</v>
      </c>
      <c r="P8" s="7" cm="1">
        <f t="array" aca="1" ref="P8" ca="1">INDEX(LINEST(OFFSET($M$5,0,0,COUNT($M$5:$M$4997),1),OFFSET($L$5,0,0,COUNT($L$5:$L$4997),1)^{1,2,3}),1,4)</f>
        <v>160.48594554922158</v>
      </c>
    </row>
    <row r="9" spans="2:21" x14ac:dyDescent="0.3">
      <c r="B9" s="4">
        <v>703</v>
      </c>
      <c r="C9" s="4">
        <v>435.8</v>
      </c>
      <c r="D9" s="5">
        <f t="shared" ca="1" si="0"/>
        <v>436.0207115321482</v>
      </c>
      <c r="E9" s="6" t="s">
        <v>7</v>
      </c>
      <c r="F9" s="7">
        <f ca="1">INDEX(LINEST(OFFSET($C$5,0,0,COUNT($C$5:$C$4997),1),OFFSET($B$5,0,0,COUNT($B$5:$B$4997),1)^{1,2,3},TRUE(),TRUE()),3,1)</f>
        <v>0.99999940906255913</v>
      </c>
      <c r="L9" s="4">
        <v>1425</v>
      </c>
      <c r="M9" s="4">
        <v>545</v>
      </c>
      <c r="N9" s="5">
        <f t="shared" ca="1" si="1"/>
        <v>544.94835170796046</v>
      </c>
      <c r="O9" s="6" t="s">
        <v>7</v>
      </c>
      <c r="P9" s="7">
        <f ca="1">INDEX(LINEST(OFFSET($C$5,0,0,COUNT($C$5:$C$4997),1),OFFSET($B$5,0,0,COUNT($B$5:$B$4997),1)^{1,2,3},TRUE(),TRUE()),3,1)</f>
        <v>0.99999940906255913</v>
      </c>
    </row>
    <row r="10" spans="2:21" x14ac:dyDescent="0.3">
      <c r="B10" s="4">
        <v>910</v>
      </c>
      <c r="C10" s="4">
        <v>546.1</v>
      </c>
      <c r="D10" s="5">
        <f t="shared" ca="1" si="0"/>
        <v>546.10038647810507</v>
      </c>
      <c r="L10" s="4">
        <v>1338</v>
      </c>
      <c r="M10" s="4">
        <v>520</v>
      </c>
      <c r="N10" s="5">
        <f t="shared" ca="1" si="1"/>
        <v>520.22132243874262</v>
      </c>
    </row>
    <row r="11" spans="2:21" x14ac:dyDescent="0.3">
      <c r="B11" s="4">
        <v>967</v>
      </c>
      <c r="C11" s="4">
        <v>577</v>
      </c>
      <c r="D11" s="5">
        <f t="shared" ca="1" si="0"/>
        <v>576.85959026523358</v>
      </c>
      <c r="E11" s="6" t="s">
        <v>8</v>
      </c>
      <c r="F11" s="8">
        <f>COUNT($B$5:$B$4997)</f>
        <v>12</v>
      </c>
      <c r="L11" s="4">
        <v>1248</v>
      </c>
      <c r="M11" s="4">
        <v>495</v>
      </c>
      <c r="N11" s="5">
        <f t="shared" ca="1" si="1"/>
        <v>494.85933684582454</v>
      </c>
      <c r="O11" s="6" t="s">
        <v>8</v>
      </c>
      <c r="P11" s="8">
        <v>4</v>
      </c>
    </row>
    <row r="12" spans="2:21" x14ac:dyDescent="0.3">
      <c r="B12" s="4">
        <v>971</v>
      </c>
      <c r="C12" s="4">
        <v>579.1</v>
      </c>
      <c r="D12" s="5">
        <f t="shared" ca="1" si="0"/>
        <v>579.02504433965544</v>
      </c>
      <c r="L12" s="4">
        <v>1153</v>
      </c>
      <c r="M12" s="4">
        <v>468</v>
      </c>
      <c r="N12" s="5">
        <f t="shared" ca="1" si="1"/>
        <v>468.31746888737894</v>
      </c>
    </row>
    <row r="13" spans="2:21" x14ac:dyDescent="0.3">
      <c r="B13" s="4">
        <v>1186</v>
      </c>
      <c r="C13" s="4">
        <v>696.5</v>
      </c>
      <c r="D13" s="5">
        <f t="shared" ca="1" si="0"/>
        <v>696.68449573958389</v>
      </c>
      <c r="E13" s="9"/>
      <c r="L13" s="4">
        <v>1050</v>
      </c>
      <c r="M13" s="4">
        <v>440</v>
      </c>
      <c r="N13" s="5">
        <f t="shared" ca="1" si="1"/>
        <v>439.79276961898074</v>
      </c>
      <c r="O13" s="9"/>
    </row>
    <row r="14" spans="2:21" x14ac:dyDescent="0.3">
      <c r="B14" s="4">
        <v>1306</v>
      </c>
      <c r="C14" s="4">
        <v>763.5</v>
      </c>
      <c r="D14" s="5">
        <f t="shared" ca="1" si="0"/>
        <v>763.36491489377624</v>
      </c>
      <c r="E14" s="2"/>
      <c r="F14" s="2"/>
      <c r="G14" s="2"/>
      <c r="H14" s="2"/>
      <c r="I14" s="2"/>
      <c r="J14" s="2"/>
      <c r="K14" s="2"/>
      <c r="L14" s="4">
        <v>608</v>
      </c>
      <c r="M14" s="4">
        <v>320</v>
      </c>
      <c r="N14" s="5">
        <f t="shared" ca="1" si="1"/>
        <v>320.00880562156465</v>
      </c>
      <c r="O14" s="2"/>
      <c r="P14" s="2"/>
      <c r="Q14" s="2"/>
      <c r="R14" s="2"/>
      <c r="S14" s="2"/>
      <c r="T14" s="2"/>
      <c r="U14" s="2"/>
    </row>
    <row r="15" spans="2:21" x14ac:dyDescent="0.3">
      <c r="B15" s="4">
        <v>1392</v>
      </c>
      <c r="C15" s="4">
        <v>811.5</v>
      </c>
      <c r="D15" s="5">
        <f t="shared" ca="1" si="0"/>
        <v>811.55874973639027</v>
      </c>
      <c r="E15" s="2"/>
      <c r="F15" s="2"/>
      <c r="G15" s="2"/>
      <c r="H15" s="2"/>
      <c r="I15" s="2"/>
      <c r="J15" s="2"/>
      <c r="K15" s="2"/>
      <c r="L15" s="4"/>
      <c r="M15" s="4"/>
      <c r="N15" s="5">
        <f t="shared" ca="1" si="1"/>
        <v>160.48594554922158</v>
      </c>
      <c r="O15" s="2"/>
      <c r="P15" s="2"/>
      <c r="Q15" s="2"/>
      <c r="R15" s="2"/>
      <c r="S15" s="2"/>
      <c r="T15" s="2"/>
      <c r="U15" s="2"/>
    </row>
    <row r="16" spans="2:21" x14ac:dyDescent="0.3">
      <c r="B16" s="4">
        <v>1570</v>
      </c>
      <c r="C16" s="4">
        <v>912.3</v>
      </c>
      <c r="D16" s="5">
        <f t="shared" ca="1" si="0"/>
        <v>912.29208572657831</v>
      </c>
      <c r="L16" s="4"/>
      <c r="M16" s="4"/>
      <c r="N16" s="5">
        <f t="shared" ca="1" si="1"/>
        <v>160.48594554922158</v>
      </c>
    </row>
  </sheetData>
  <pageMargins left="0.75" right="0.75" top="1" bottom="1" header="0.511811023622047" footer="0.511811023622047"/>
  <pageSetup paperSize="9" orientation="portrait" horizontalDpi="300" verticalDpi="300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Wavelength Calibration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Des De Borger</cp:lastModifiedBy>
  <cp:revision>1</cp:revision>
  <dcterms:created xsi:type="dcterms:W3CDTF">2026-08-31T09:18:45Z</dcterms:created>
  <dcterms:modified xsi:type="dcterms:W3CDTF">2026-08-31T13:49:55Z</dcterms:modified>
  <dc:language>en-US</dc:language>
</cp:coreProperties>
</file>