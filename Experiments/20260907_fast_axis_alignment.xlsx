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user\Documents\GitHub\CDspectrometer\Experiments\"/>
    </mc:Choice>
  </mc:AlternateContent>
  <xr:revisionPtr revIDLastSave="0" documentId="13_ncr:1_{723BDFE0-1062-403B-9484-CF77FF4DF02A}" xr6:coauthVersionLast="47" xr6:coauthVersionMax="47" xr10:uidLastSave="{00000000-0000-0000-0000-000000000000}"/>
  <bookViews>
    <workbookView xWindow="-108" yWindow="-108" windowWidth="23256" windowHeight="12456" xr2:uid="{8CAAB88A-E23D-45CC-85FD-D7BF5CB1DDD6}"/>
  </bookViews>
  <sheets>
    <sheet name="Sheet1" sheetId="1" r:id="rId1"/>
  </sheets>
  <definedNames>
    <definedName name="solver_adj" localSheetId="0" hidden="1">Sheet1!$BI$8:$BI$10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Sheet1!$BI$13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F8" i="1" l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J9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Q13" i="1" a="1"/>
  <c r="AQ13" i="1" s="1"/>
  <c r="AR9" i="1"/>
  <c r="Z9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C23" i="1"/>
  <c r="C24" i="1"/>
  <c r="C25" i="1"/>
  <c r="C26" i="1"/>
  <c r="C17" i="1"/>
  <c r="C18" i="1"/>
  <c r="C20" i="1"/>
  <c r="C21" i="1"/>
  <c r="C22" i="1"/>
  <c r="C16" i="1"/>
  <c r="C19" i="1"/>
  <c r="C27" i="1"/>
  <c r="C28" i="1"/>
  <c r="C38" i="1"/>
  <c r="C37" i="1"/>
  <c r="V12" i="1"/>
  <c r="V8" i="1"/>
  <c r="V9" i="1"/>
  <c r="V10" i="1"/>
  <c r="V11" i="1"/>
  <c r="V13" i="1"/>
  <c r="V14" i="1"/>
  <c r="V15" i="1"/>
  <c r="V16" i="1"/>
  <c r="V17" i="1"/>
  <c r="V18" i="1"/>
  <c r="V19" i="1"/>
  <c r="V20" i="1"/>
  <c r="V21" i="1"/>
  <c r="V22" i="1"/>
  <c r="V23" i="1"/>
  <c r="V24" i="1"/>
  <c r="C30" i="1"/>
  <c r="C31" i="1"/>
  <c r="C32" i="1"/>
  <c r="C33" i="1"/>
  <c r="C34" i="1"/>
  <c r="C35" i="1"/>
  <c r="C36" i="1"/>
  <c r="C7" i="1"/>
  <c r="C8" i="1"/>
  <c r="C9" i="1"/>
  <c r="C10" i="1"/>
  <c r="C11" i="1"/>
  <c r="C12" i="1"/>
  <c r="C13" i="1"/>
  <c r="C14" i="1"/>
  <c r="C15" i="1"/>
  <c r="C29" i="1"/>
  <c r="BI13" i="1" l="1" a="1"/>
  <c r="BI13" i="1" s="1"/>
  <c r="F12" i="1" a="1"/>
  <c r="F12" i="1" s="1"/>
  <c r="Y13" i="1" a="1"/>
  <c r="Y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<sst xmlns="http://schemas.openxmlformats.org/spreadsheetml/2006/main" count="53" uniqueCount="15">
  <si>
    <t>Cosine Fit for Fast Axis Alignment</t>
  </si>
  <si>
    <t>Angle</t>
  </si>
  <si>
    <t>Intensity</t>
  </si>
  <si>
    <t>Fit</t>
  </si>
  <si>
    <t>A</t>
  </si>
  <si>
    <t>θ</t>
  </si>
  <si>
    <t>Fitted Parameters</t>
  </si>
  <si>
    <t>Error</t>
  </si>
  <si>
    <t>SSE</t>
  </si>
  <si>
    <t>C</t>
  </si>
  <si>
    <t>Linear Polarisers</t>
  </si>
  <si>
    <t>Fresnel Rhomb</t>
  </si>
  <si>
    <t>Integration time:</t>
  </si>
  <si>
    <t>Time average</t>
  </si>
  <si>
    <t>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</si>
</sst>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Cosine</a:t>
            </a:r>
            <a:r>
              <a:rPr lang="en-US" baseline="0"/>
              <a:t> Fit for Fast Axis Alignment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Intensity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Sheet1!$A$7:$A$38</c:f>
              <c:numCache>
                <c:formatCode>General</c:formatCode>
                <c:ptCount val="3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82</c:v>
                </c:pt>
                <c:pt idx="10">
                  <c:v>83.6</c:v>
                </c:pt>
                <c:pt idx="11">
                  <c:v>83.8</c:v>
                </c:pt>
                <c:pt idx="12">
                  <c:v>84</c:v>
                </c:pt>
                <c:pt idx="13">
                  <c:v>84</c:v>
                </c:pt>
                <c:pt idx="14">
                  <c:v>84.2</c:v>
                </c:pt>
                <c:pt idx="15">
                  <c:v>84.4</c:v>
                </c:pt>
                <c:pt idx="16">
                  <c:v>84.6</c:v>
                </c:pt>
                <c:pt idx="17">
                  <c:v>84.8</c:v>
                </c:pt>
                <c:pt idx="18">
                  <c:v>85</c:v>
                </c:pt>
                <c:pt idx="19">
                  <c:v>85.2</c:v>
                </c:pt>
                <c:pt idx="20">
                  <c:v>86</c:v>
                </c:pt>
                <c:pt idx="21">
                  <c:v>88</c:v>
                </c:pt>
                <c:pt idx="22">
                  <c:v>90</c:v>
                </c:pt>
                <c:pt idx="23">
                  <c:v>100</c:v>
                </c:pt>
                <c:pt idx="24">
                  <c:v>110</c:v>
                </c:pt>
                <c:pt idx="25">
                  <c:v>120</c:v>
                </c:pt>
                <c:pt idx="26">
                  <c:v>130</c:v>
                </c:pt>
                <c:pt idx="27">
                  <c:v>140</c:v>
                </c:pt>
                <c:pt idx="28">
                  <c:v>150</c:v>
                </c:pt>
                <c:pt idx="29">
                  <c:v>160</c:v>
                </c:pt>
                <c:pt idx="30">
                  <c:v>170</c:v>
                </c:pt>
                <c:pt idx="31">
                  <c:v>180</c:v>
                </c:pt>
              </c:numCache>
            </c:numRef>
          </c:xVal>
          <c:yVal>
            <c:numRef>
              <c:f>Sheet1!$B$7:$B$38</c:f>
              <c:numCache>
                <c:formatCode>General</c:formatCode>
                <c:ptCount val="32"/>
                <c:pt idx="0">
                  <c:v>6721075.5899999999</c:v>
                </c:pt>
                <c:pt idx="1">
                  <c:v>6296698.7300000004</c:v>
                </c:pt>
                <c:pt idx="2">
                  <c:v>5524384.6500000004</c:v>
                </c:pt>
                <c:pt idx="3">
                  <c:v>4486114.55</c:v>
                </c:pt>
                <c:pt idx="4">
                  <c:v>3300117.27</c:v>
                </c:pt>
                <c:pt idx="5">
                  <c:v>2175236.94</c:v>
                </c:pt>
                <c:pt idx="6">
                  <c:v>1184956.31</c:v>
                </c:pt>
                <c:pt idx="7">
                  <c:v>439900.7</c:v>
                </c:pt>
                <c:pt idx="8">
                  <c:v>50420.89</c:v>
                </c:pt>
                <c:pt idx="9">
                  <c:v>19910.2</c:v>
                </c:pt>
                <c:pt idx="10">
                  <c:v>7636.94</c:v>
                </c:pt>
                <c:pt idx="11">
                  <c:v>6246.91</c:v>
                </c:pt>
                <c:pt idx="12">
                  <c:v>5109.6400000000003</c:v>
                </c:pt>
                <c:pt idx="13">
                  <c:v>5660.58</c:v>
                </c:pt>
                <c:pt idx="14">
                  <c:v>5386.66</c:v>
                </c:pt>
                <c:pt idx="15">
                  <c:v>4544.34</c:v>
                </c:pt>
                <c:pt idx="16">
                  <c:v>4465.62</c:v>
                </c:pt>
                <c:pt idx="17">
                  <c:v>4642.43</c:v>
                </c:pt>
                <c:pt idx="18">
                  <c:v>4674.8500000000004</c:v>
                </c:pt>
                <c:pt idx="19">
                  <c:v>4894.3999999999996</c:v>
                </c:pt>
                <c:pt idx="20">
                  <c:v>6314.12</c:v>
                </c:pt>
                <c:pt idx="21">
                  <c:v>23943.65</c:v>
                </c:pt>
                <c:pt idx="22">
                  <c:v>56185.46</c:v>
                </c:pt>
                <c:pt idx="23">
                  <c:v>462806.63</c:v>
                </c:pt>
                <c:pt idx="24">
                  <c:v>1221992.79</c:v>
                </c:pt>
                <c:pt idx="25">
                  <c:v>2234799.58</c:v>
                </c:pt>
                <c:pt idx="26">
                  <c:v>3375348.29</c:v>
                </c:pt>
                <c:pt idx="27">
                  <c:v>4505416.05</c:v>
                </c:pt>
                <c:pt idx="28">
                  <c:v>5505318.7800000003</c:v>
                </c:pt>
                <c:pt idx="29">
                  <c:v>6258773.71</c:v>
                </c:pt>
                <c:pt idx="30">
                  <c:v>6648602.6100000003</c:v>
                </c:pt>
                <c:pt idx="31">
                  <c:v>6617930.2400000002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00-4ACB-B206-5B80845E33ED}"/>
            </c:ext>
          </c:extLst>
        </c:ser>
        <c:ser>
          <c:idx val="1"/>
          <c:order val="1"/>
          <c:tx>
            <c:strRef>
              <c:f>Sheet1!$C$6</c:f>
              <c:strCache>
                <c:ptCount val="1"/>
                <c:pt idx="0">
                  <c:v>Fit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Sheet1!$A$7:$A$38</c:f>
              <c:numCache>
                <c:formatCode>General</c:formatCode>
                <c:ptCount val="3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82</c:v>
                </c:pt>
                <c:pt idx="10">
                  <c:v>83.6</c:v>
                </c:pt>
                <c:pt idx="11">
                  <c:v>83.8</c:v>
                </c:pt>
                <c:pt idx="12">
                  <c:v>84</c:v>
                </c:pt>
                <c:pt idx="13">
                  <c:v>84</c:v>
                </c:pt>
                <c:pt idx="14">
                  <c:v>84.2</c:v>
                </c:pt>
                <c:pt idx="15">
                  <c:v>84.4</c:v>
                </c:pt>
                <c:pt idx="16">
                  <c:v>84.6</c:v>
                </c:pt>
                <c:pt idx="17">
                  <c:v>84.8</c:v>
                </c:pt>
                <c:pt idx="18">
                  <c:v>85</c:v>
                </c:pt>
                <c:pt idx="19">
                  <c:v>85.2</c:v>
                </c:pt>
                <c:pt idx="20">
                  <c:v>86</c:v>
                </c:pt>
                <c:pt idx="21">
                  <c:v>88</c:v>
                </c:pt>
                <c:pt idx="22">
                  <c:v>90</c:v>
                </c:pt>
                <c:pt idx="23">
                  <c:v>100</c:v>
                </c:pt>
                <c:pt idx="24">
                  <c:v>110</c:v>
                </c:pt>
                <c:pt idx="25">
                  <c:v>120</c:v>
                </c:pt>
                <c:pt idx="26">
                  <c:v>130</c:v>
                </c:pt>
                <c:pt idx="27">
                  <c:v>140</c:v>
                </c:pt>
                <c:pt idx="28">
                  <c:v>150</c:v>
                </c:pt>
                <c:pt idx="29">
                  <c:v>160</c:v>
                </c:pt>
                <c:pt idx="30">
                  <c:v>170</c:v>
                </c:pt>
                <c:pt idx="31">
                  <c:v>180</c:v>
                </c:pt>
              </c:numCache>
            </c:numRef>
          </c:xVal>
          <c:yVal>
            <c:numRef>
              <c:f>Sheet1!$C$7:$C$38</c:f>
              <c:numCache>
                <c:formatCode>General</c:formatCode>
                <c:ptCount val="32"/>
                <c:pt idx="0">
                  <c:v>6657926.7691477053</c:v>
                </c:pt>
                <c:pt idx="1">
                  <c:v>6254110.0084760096</c:v>
                </c:pt>
                <c:pt idx="2">
                  <c:v>5500960.1459395736</c:v>
                </c:pt>
                <c:pt idx="3">
                  <c:v>4489318.1702684499</c:v>
                </c:pt>
                <c:pt idx="4">
                  <c:v>3341203.0339740217</c:v>
                </c:pt>
                <c:pt idx="5">
                  <c:v>2195094.3668681816</c:v>
                </c:pt>
                <c:pt idx="6">
                  <c:v>1189229.7889663484</c:v>
                </c:pt>
                <c:pt idx="7">
                  <c:v>444931.41334361676</c:v>
                </c:pt>
                <c:pt idx="8">
                  <c:v>51972.60877421312</c:v>
                </c:pt>
                <c:pt idx="9">
                  <c:v>20541.878189790994</c:v>
                </c:pt>
                <c:pt idx="10">
                  <c:v>7099.0617403914221</c:v>
                </c:pt>
                <c:pt idx="11">
                  <c:v>6152.9130277056247</c:v>
                </c:pt>
                <c:pt idx="12">
                  <c:v>5370.1207365398295</c:v>
                </c:pt>
                <c:pt idx="13">
                  <c:v>5370.1207365398295</c:v>
                </c:pt>
                <c:pt idx="14">
                  <c:v>4750.7230190858245</c:v>
                </c:pt>
                <c:pt idx="15">
                  <c:v>4294.7500639134087</c:v>
                </c:pt>
                <c:pt idx="16">
                  <c:v>4002.2240945026278</c:v>
                </c:pt>
                <c:pt idx="17">
                  <c:v>3873.1593681559898</c:v>
                </c:pt>
                <c:pt idx="18">
                  <c:v>3907.5621753060259</c:v>
                </c:pt>
                <c:pt idx="19">
                  <c:v>4105.4308392084204</c:v>
                </c:pt>
                <c:pt idx="20">
                  <c:v>6531.2516917120665</c:v>
                </c:pt>
                <c:pt idx="21">
                  <c:v>24019.614142011385</c:v>
                </c:pt>
                <c:pt idx="22">
                  <c:v>57750.006543502677</c:v>
                </c:pt>
                <c:pt idx="23">
                  <c:v>461566.7672151993</c:v>
                </c:pt>
                <c:pt idx="24">
                  <c:v>1214716.6297516352</c:v>
                </c:pt>
                <c:pt idx="25">
                  <c:v>2226358.6054227585</c:v>
                </c:pt>
                <c:pt idx="26">
                  <c:v>3374473.7417171863</c:v>
                </c:pt>
                <c:pt idx="27">
                  <c:v>4520582.4088230263</c:v>
                </c:pt>
                <c:pt idx="28">
                  <c:v>5526446.98672486</c:v>
                </c:pt>
                <c:pt idx="29">
                  <c:v>6270745.3623475917</c:v>
                </c:pt>
                <c:pt idx="30">
                  <c:v>6663704.1669169953</c:v>
                </c:pt>
                <c:pt idx="31">
                  <c:v>6657926.7691477053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8A-4114-90E0-8F4DF5543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724271"/>
        <c:axId val="1898780527"/>
      </c:scatterChart>
      <c:valAx>
        <c:axId val="211572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898780527"/>
        <c:crosses val="autoZero"/>
        <c:crossBetween val="midCat"/>
      </c:valAx>
      <c:valAx>
        <c:axId val="18987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11572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Cosine</a:t>
            </a:r>
            <a:r>
              <a:rPr lang="en-US" baseline="0"/>
              <a:t> Fit for Fast Axis Alignment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Intensity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Sheet1!$T$8:$T$188</c:f>
              <c:numCache>
                <c:formatCode>General</c:formatCode>
                <c:ptCount val="1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</c:numCache>
            </c:numRef>
          </c:xVal>
          <c:yVal>
            <c:numRef>
              <c:f>Sheet1!$U$8:$U$188</c:f>
              <c:numCache>
                <c:formatCode>General</c:formatCode>
                <c:ptCount val="181"/>
                <c:pt idx="0">
                  <c:v>6393676.6710367203</c:v>
                </c:pt>
                <c:pt idx="1">
                  <c:v>6364132.5917718802</c:v>
                </c:pt>
                <c:pt idx="2">
                  <c:v>6329076.3125620596</c:v>
                </c:pt>
                <c:pt idx="3">
                  <c:v>6291499.04596237</c:v>
                </c:pt>
                <c:pt idx="4">
                  <c:v>6248008.6528248899</c:v>
                </c:pt>
                <c:pt idx="5">
                  <c:v>6206606.1016488597</c:v>
                </c:pt>
                <c:pt idx="6">
                  <c:v>6160916.5057343701</c:v>
                </c:pt>
                <c:pt idx="7">
                  <c:v>6115175.8681071298</c:v>
                </c:pt>
                <c:pt idx="8">
                  <c:v>6065503.0355731901</c:v>
                </c:pt>
                <c:pt idx="9">
                  <c:v>6012810.89954847</c:v>
                </c:pt>
                <c:pt idx="10">
                  <c:v>5951711.8500998104</c:v>
                </c:pt>
                <c:pt idx="11">
                  <c:v>5890557.4222782599</c:v>
                </c:pt>
                <c:pt idx="12">
                  <c:v>5825263.3841383103</c:v>
                </c:pt>
                <c:pt idx="13">
                  <c:v>5755341.0494658602</c:v>
                </c:pt>
                <c:pt idx="14">
                  <c:v>5684950.5942204501</c:v>
                </c:pt>
                <c:pt idx="15">
                  <c:v>5610232.3117233403</c:v>
                </c:pt>
                <c:pt idx="16">
                  <c:v>5531547.0937925298</c:v>
                </c:pt>
                <c:pt idx="17">
                  <c:v>5450562.4695175001</c:v>
                </c:pt>
                <c:pt idx="18">
                  <c:v>5365959.29008599</c:v>
                </c:pt>
                <c:pt idx="19">
                  <c:v>5279701.1895847796</c:v>
                </c:pt>
                <c:pt idx="20">
                  <c:v>5189303.4858150501</c:v>
                </c:pt>
                <c:pt idx="21">
                  <c:v>5096137.7613875596</c:v>
                </c:pt>
                <c:pt idx="22">
                  <c:v>5073747.9413670702</c:v>
                </c:pt>
                <c:pt idx="23">
                  <c:v>5015255.24321598</c:v>
                </c:pt>
                <c:pt idx="24">
                  <c:v>4947027.2709073797</c:v>
                </c:pt>
                <c:pt idx="25">
                  <c:v>5069108.9477584101</c:v>
                </c:pt>
                <c:pt idx="26">
                  <c:v>4956911.8381073102</c:v>
                </c:pt>
                <c:pt idx="27">
                  <c:v>4843975.3489638399</c:v>
                </c:pt>
                <c:pt idx="28">
                  <c:v>4732492.2369612502</c:v>
                </c:pt>
                <c:pt idx="29">
                  <c:v>3454230.4719423898</c:v>
                </c:pt>
                <c:pt idx="30">
                  <c:v>4174883.19669209</c:v>
                </c:pt>
                <c:pt idx="31">
                  <c:v>4140602.27694003</c:v>
                </c:pt>
                <c:pt idx="32">
                  <c:v>4034008.8586069299</c:v>
                </c:pt>
                <c:pt idx="33">
                  <c:v>4044703.9092576699</c:v>
                </c:pt>
                <c:pt idx="34">
                  <c:v>3934809.79864043</c:v>
                </c:pt>
                <c:pt idx="35">
                  <c:v>3710000.9548274698</c:v>
                </c:pt>
                <c:pt idx="36">
                  <c:v>3512923.9067193</c:v>
                </c:pt>
                <c:pt idx="37">
                  <c:v>3416243.6336829499</c:v>
                </c:pt>
                <c:pt idx="38">
                  <c:v>3316520.1803319901</c:v>
                </c:pt>
                <c:pt idx="39">
                  <c:v>3213017.2677544099</c:v>
                </c:pt>
                <c:pt idx="40">
                  <c:v>3108055.3745433199</c:v>
                </c:pt>
                <c:pt idx="41">
                  <c:v>2999781.2730603698</c:v>
                </c:pt>
                <c:pt idx="42">
                  <c:v>2889349.7468313002</c:v>
                </c:pt>
                <c:pt idx="43">
                  <c:v>2783996.6133921598</c:v>
                </c:pt>
                <c:pt idx="44">
                  <c:v>2683159.8578154002</c:v>
                </c:pt>
                <c:pt idx="45">
                  <c:v>2580050.84169845</c:v>
                </c:pt>
                <c:pt idx="46">
                  <c:v>2479133.14287822</c:v>
                </c:pt>
                <c:pt idx="47">
                  <c:v>2381859.2452428401</c:v>
                </c:pt>
                <c:pt idx="48">
                  <c:v>2283633.5959782298</c:v>
                </c:pt>
                <c:pt idx="49">
                  <c:v>2187184.4345089998</c:v>
                </c:pt>
                <c:pt idx="50">
                  <c:v>2094085.2345042799</c:v>
                </c:pt>
                <c:pt idx="51">
                  <c:v>2000017.3733601901</c:v>
                </c:pt>
                <c:pt idx="52">
                  <c:v>1909070.1773820401</c:v>
                </c:pt>
                <c:pt idx="53">
                  <c:v>1821705.6980679</c:v>
                </c:pt>
                <c:pt idx="54">
                  <c:v>1733864.4341358801</c:v>
                </c:pt>
                <c:pt idx="55">
                  <c:v>1648786.5781980499</c:v>
                </c:pt>
                <c:pt idx="56">
                  <c:v>1567643.6735922699</c:v>
                </c:pt>
                <c:pt idx="57">
                  <c:v>1486423.0362732301</c:v>
                </c:pt>
                <c:pt idx="58">
                  <c:v>1409131.4962792599</c:v>
                </c:pt>
                <c:pt idx="59">
                  <c:v>1334637.3168451199</c:v>
                </c:pt>
                <c:pt idx="60">
                  <c:v>1261422.75658571</c:v>
                </c:pt>
                <c:pt idx="61">
                  <c:v>1190746.93075137</c:v>
                </c:pt>
                <c:pt idx="62">
                  <c:v>1124547.6527763801</c:v>
                </c:pt>
                <c:pt idx="63">
                  <c:v>1059214.68751788</c:v>
                </c:pt>
                <c:pt idx="64">
                  <c:v>997903.09170911706</c:v>
                </c:pt>
                <c:pt idx="65">
                  <c:v>940078.05038923898</c:v>
                </c:pt>
                <c:pt idx="66">
                  <c:v>884280.89438954694</c:v>
                </c:pt>
                <c:pt idx="67">
                  <c:v>832132.71369930496</c:v>
                </c:pt>
                <c:pt idx="68">
                  <c:v>783688.79488968896</c:v>
                </c:pt>
                <c:pt idx="69">
                  <c:v>753147.019153147</c:v>
                </c:pt>
                <c:pt idx="70">
                  <c:v>700154.04361060797</c:v>
                </c:pt>
                <c:pt idx="71">
                  <c:v>659715.24813427997</c:v>
                </c:pt>
                <c:pt idx="72">
                  <c:v>623046.52022546297</c:v>
                </c:pt>
                <c:pt idx="73">
                  <c:v>590460.30404221697</c:v>
                </c:pt>
                <c:pt idx="74">
                  <c:v>563046.43516470201</c:v>
                </c:pt>
                <c:pt idx="75">
                  <c:v>548825.99432565796</c:v>
                </c:pt>
                <c:pt idx="76">
                  <c:v>526326.79216567299</c:v>
                </c:pt>
                <c:pt idx="77">
                  <c:v>497137.84625148599</c:v>
                </c:pt>
                <c:pt idx="78">
                  <c:v>482145.60987756</c:v>
                </c:pt>
                <c:pt idx="79">
                  <c:v>471121.68121696397</c:v>
                </c:pt>
                <c:pt idx="80">
                  <c:v>463618.10272286797</c:v>
                </c:pt>
                <c:pt idx="81">
                  <c:v>459734.74070674099</c:v>
                </c:pt>
                <c:pt idx="82">
                  <c:v>459152.06090995099</c:v>
                </c:pt>
                <c:pt idx="83">
                  <c:v>461204.94126586401</c:v>
                </c:pt>
                <c:pt idx="84">
                  <c:v>469727.20317057701</c:v>
                </c:pt>
                <c:pt idx="85">
                  <c:v>480576.00827462098</c:v>
                </c:pt>
                <c:pt idx="86">
                  <c:v>495175.052088372</c:v>
                </c:pt>
                <c:pt idx="87">
                  <c:v>514113.32464918698</c:v>
                </c:pt>
                <c:pt idx="88">
                  <c:v>536017.88400227402</c:v>
                </c:pt>
                <c:pt idx="89">
                  <c:v>561352.55501457199</c:v>
                </c:pt>
                <c:pt idx="90">
                  <c:v>590553.65828052699</c:v>
                </c:pt>
                <c:pt idx="91">
                  <c:v>622982.98549720203</c:v>
                </c:pt>
                <c:pt idx="92">
                  <c:v>658953.50838223996</c:v>
                </c:pt>
                <c:pt idx="93">
                  <c:v>698886.95621547406</c:v>
                </c:pt>
                <c:pt idx="94">
                  <c:v>742081.79716403503</c:v>
                </c:pt>
                <c:pt idx="95">
                  <c:v>787675.85971458699</c:v>
                </c:pt>
                <c:pt idx="96">
                  <c:v>837420.64251236804</c:v>
                </c:pt>
                <c:pt idx="97">
                  <c:v>890158.78452953103</c:v>
                </c:pt>
                <c:pt idx="98">
                  <c:v>945300.88234494405</c:v>
                </c:pt>
                <c:pt idx="99">
                  <c:v>1004676.0216936</c:v>
                </c:pt>
                <c:pt idx="100">
                  <c:v>1066736.7197455801</c:v>
                </c:pt>
                <c:pt idx="101">
                  <c:v>1130598.9766722601</c:v>
                </c:pt>
                <c:pt idx="102">
                  <c:v>1198862.0381873399</c:v>
                </c:pt>
                <c:pt idx="103">
                  <c:v>1269567.61693254</c:v>
                </c:pt>
                <c:pt idx="104">
                  <c:v>1341828.4615187701</c:v>
                </c:pt>
                <c:pt idx="105">
                  <c:v>1418067.6950358199</c:v>
                </c:pt>
                <c:pt idx="106">
                  <c:v>1497463.37406052</c:v>
                </c:pt>
                <c:pt idx="107">
                  <c:v>1576555.49542832</c:v>
                </c:pt>
                <c:pt idx="108">
                  <c:v>1660647.3144811001</c:v>
                </c:pt>
                <c:pt idx="109">
                  <c:v>1746444.22088289</c:v>
                </c:pt>
                <c:pt idx="110">
                  <c:v>1832872.10764112</c:v>
                </c:pt>
                <c:pt idx="111">
                  <c:v>1923890.1564020501</c:v>
                </c:pt>
                <c:pt idx="112">
                  <c:v>2014855.2032284399</c:v>
                </c:pt>
                <c:pt idx="113">
                  <c:v>2108317.3736755298</c:v>
                </c:pt>
                <c:pt idx="114">
                  <c:v>2206919.7314865398</c:v>
                </c:pt>
                <c:pt idx="115">
                  <c:v>2305569.6070538298</c:v>
                </c:pt>
                <c:pt idx="116">
                  <c:v>2403346.0430188598</c:v>
                </c:pt>
                <c:pt idx="117">
                  <c:v>2505962.4189452501</c:v>
                </c:pt>
                <c:pt idx="118">
                  <c:v>2610311.41888934</c:v>
                </c:pt>
                <c:pt idx="119">
                  <c:v>2709663.8365330701</c:v>
                </c:pt>
                <c:pt idx="120">
                  <c:v>2814220.27329048</c:v>
                </c:pt>
                <c:pt idx="121">
                  <c:v>2919147.2330290098</c:v>
                </c:pt>
                <c:pt idx="122">
                  <c:v>3020544.9039837299</c:v>
                </c:pt>
                <c:pt idx="123">
                  <c:v>3127335.2120572901</c:v>
                </c:pt>
                <c:pt idx="124">
                  <c:v>3144360.08420903</c:v>
                </c:pt>
                <c:pt idx="125">
                  <c:v>3351563.7395572802</c:v>
                </c:pt>
                <c:pt idx="126">
                  <c:v>3470599.8481085901</c:v>
                </c:pt>
                <c:pt idx="127">
                  <c:v>3563431.23918215</c:v>
                </c:pt>
                <c:pt idx="128">
                  <c:v>3684689.1003434602</c:v>
                </c:pt>
                <c:pt idx="129">
                  <c:v>3828373.83311341</c:v>
                </c:pt>
                <c:pt idx="130">
                  <c:v>3948618.3293141001</c:v>
                </c:pt>
                <c:pt idx="131">
                  <c:v>4053916.6597484099</c:v>
                </c:pt>
                <c:pt idx="132">
                  <c:v>4162456.7045541499</c:v>
                </c:pt>
                <c:pt idx="133">
                  <c:v>3973935.2962804898</c:v>
                </c:pt>
                <c:pt idx="134">
                  <c:v>4314360.37795032</c:v>
                </c:pt>
                <c:pt idx="135">
                  <c:v>4431989.2969467696</c:v>
                </c:pt>
                <c:pt idx="136">
                  <c:v>4415098.4417532301</c:v>
                </c:pt>
                <c:pt idx="137">
                  <c:v>4607395.5975115197</c:v>
                </c:pt>
                <c:pt idx="138">
                  <c:v>4751494.8391605001</c:v>
                </c:pt>
                <c:pt idx="139">
                  <c:v>4805800.8578080796</c:v>
                </c:pt>
                <c:pt idx="140">
                  <c:v>4900095.2696738103</c:v>
                </c:pt>
                <c:pt idx="141">
                  <c:v>4995430.74210029</c:v>
                </c:pt>
                <c:pt idx="142">
                  <c:v>5086730.9486967698</c:v>
                </c:pt>
                <c:pt idx="143">
                  <c:v>5174299.5985623198</c:v>
                </c:pt>
                <c:pt idx="144">
                  <c:v>5262120.8924933001</c:v>
                </c:pt>
                <c:pt idx="145">
                  <c:v>5347904.4115132997</c:v>
                </c:pt>
                <c:pt idx="146">
                  <c:v>5427425.2034219299</c:v>
                </c:pt>
                <c:pt idx="147">
                  <c:v>5508874.8418706805</c:v>
                </c:pt>
                <c:pt idx="148">
                  <c:v>5587137.4637695998</c:v>
                </c:pt>
                <c:pt idx="149">
                  <c:v>5661840.3514130097</c:v>
                </c:pt>
                <c:pt idx="150">
                  <c:v>5736139.3815013804</c:v>
                </c:pt>
                <c:pt idx="151">
                  <c:v>5809298.6582490196</c:v>
                </c:pt>
                <c:pt idx="152">
                  <c:v>5877195.94434347</c:v>
                </c:pt>
                <c:pt idx="153">
                  <c:v>5944193.4500604002</c:v>
                </c:pt>
                <c:pt idx="154">
                  <c:v>6006878.4527034396</c:v>
                </c:pt>
                <c:pt idx="155">
                  <c:v>6065388.0239858301</c:v>
                </c:pt>
                <c:pt idx="156">
                  <c:v>6087065.0303439097</c:v>
                </c:pt>
                <c:pt idx="157">
                  <c:v>6060171.4092645999</c:v>
                </c:pt>
                <c:pt idx="158">
                  <c:v>6109544.4845944</c:v>
                </c:pt>
                <c:pt idx="159">
                  <c:v>6156704.7907738099</c:v>
                </c:pt>
                <c:pt idx="160">
                  <c:v>6199897.6956430096</c:v>
                </c:pt>
                <c:pt idx="161">
                  <c:v>6238776.7526277704</c:v>
                </c:pt>
                <c:pt idx="162">
                  <c:v>6272377.2174524004</c:v>
                </c:pt>
                <c:pt idx="163">
                  <c:v>6301742.21439947</c:v>
                </c:pt>
                <c:pt idx="164">
                  <c:v>6327523.43777603</c:v>
                </c:pt>
                <c:pt idx="165">
                  <c:v>6350010.8821644504</c:v>
                </c:pt>
                <c:pt idx="166">
                  <c:v>6367948.98385044</c:v>
                </c:pt>
                <c:pt idx="167">
                  <c:v>6384393.2263487196</c:v>
                </c:pt>
                <c:pt idx="168">
                  <c:v>6396847.4259483796</c:v>
                </c:pt>
                <c:pt idx="169">
                  <c:v>6406667.7886138996</c:v>
                </c:pt>
                <c:pt idx="170">
                  <c:v>6411752.0242468202</c:v>
                </c:pt>
                <c:pt idx="171">
                  <c:v>6413331.8199406499</c:v>
                </c:pt>
                <c:pt idx="172">
                  <c:v>6411444.5788465403</c:v>
                </c:pt>
                <c:pt idx="173">
                  <c:v>6406252.0431991797</c:v>
                </c:pt>
                <c:pt idx="174">
                  <c:v>6396337.4223297602</c:v>
                </c:pt>
                <c:pt idx="175">
                  <c:v>6384237.4479219802</c:v>
                </c:pt>
                <c:pt idx="176">
                  <c:v>6369213.5109991301</c:v>
                </c:pt>
                <c:pt idx="177">
                  <c:v>6351410.6793469498</c:v>
                </c:pt>
                <c:pt idx="178">
                  <c:v>6332002.0973892901</c:v>
                </c:pt>
                <c:pt idx="179">
                  <c:v>6309099.7946736198</c:v>
                </c:pt>
                <c:pt idx="180">
                  <c:v>6282828.2881879099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CE-4721-9399-008603083FA4}"/>
            </c:ext>
          </c:extLst>
        </c:ser>
        <c:ser>
          <c:idx val="1"/>
          <c:order val="1"/>
          <c:tx>
            <c:v>Fit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Sheet1!$T$8:$T$188</c:f>
              <c:numCache>
                <c:formatCode>General</c:formatCode>
                <c:ptCount val="1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</c:numCache>
            </c:numRef>
          </c:xVal>
          <c:yVal>
            <c:numRef>
              <c:f>Sheet1!$V$8:$V$188</c:f>
              <c:numCache>
                <c:formatCode>General</c:formatCode>
                <c:ptCount val="181"/>
                <c:pt idx="0">
                  <c:v>6380044.5924469419</c:v>
                </c:pt>
                <c:pt idx="1">
                  <c:v>6348073.4823723733</c:v>
                </c:pt>
                <c:pt idx="2">
                  <c:v>6312638.7265094761</c:v>
                </c:pt>
                <c:pt idx="3">
                  <c:v>6273783.496649961</c:v>
                </c:pt>
                <c:pt idx="4">
                  <c:v>6231555.1319062244</c:v>
                </c:pt>
                <c:pt idx="5">
                  <c:v>6186005.0810359241</c:v>
                </c:pt>
                <c:pt idx="6">
                  <c:v>6137188.8397595976</c:v>
                </c:pt>
                <c:pt idx="7">
                  <c:v>6085165.8831476774</c:v>
                </c:pt>
                <c:pt idx="8">
                  <c:v>6029999.5931592695</c:v>
                </c:pt>
                <c:pt idx="9">
                  <c:v>5971757.1814210117</c:v>
                </c:pt>
                <c:pt idx="10">
                  <c:v>5910509.6073400509</c:v>
                </c:pt>
                <c:pt idx="11">
                  <c:v>5846331.4916509381</c:v>
                </c:pt>
                <c:pt idx="12">
                  <c:v>5779301.0255017607</c:v>
                </c:pt>
                <c:pt idx="13">
                  <c:v>5709499.8751902692</c:v>
                </c:pt>
                <c:pt idx="14">
                  <c:v>5637013.0826660767</c:v>
                </c:pt>
                <c:pt idx="15">
                  <c:v>5561928.9619201357</c:v>
                </c:pt>
                <c:pt idx="16">
                  <c:v>5484338.9913877565</c:v>
                </c:pt>
                <c:pt idx="17">
                  <c:v>5404337.7024962129</c:v>
                </c:pt>
                <c:pt idx="18">
                  <c:v>5322022.5644927658</c:v>
                </c:pt>
                <c:pt idx="19">
                  <c:v>5237493.865693396</c:v>
                </c:pt>
                <c:pt idx="20">
                  <c:v>5150854.5912969448</c:v>
                </c:pt>
                <c:pt idx="21">
                  <c:v>5062210.2979135057</c:v>
                </c:pt>
                <c:pt idx="22">
                  <c:v>4971668.98495996</c:v>
                </c:pt>
                <c:pt idx="23">
                  <c:v>4879340.9630793212</c:v>
                </c:pt>
                <c:pt idx="24">
                  <c:v>4785338.7197442111</c:v>
                </c:pt>
                <c:pt idx="25">
                  <c:v>4689776.782208195</c:v>
                </c:pt>
                <c:pt idx="26">
                  <c:v>4592771.5779719763</c:v>
                </c:pt>
                <c:pt idx="27">
                  <c:v>4494441.2929344065</c:v>
                </c:pt>
                <c:pt idx="28">
                  <c:v>4394905.7274011876</c:v>
                </c:pt>
                <c:pt idx="29">
                  <c:v>4294286.1501266416</c:v>
                </c:pt>
                <c:pt idx="30">
                  <c:v>4192705.150566421</c:v>
                </c:pt>
                <c:pt idx="31">
                  <c:v>4090286.4895211356</c:v>
                </c:pt>
                <c:pt idx="32">
                  <c:v>3987154.9483528845</c:v>
                </c:pt>
                <c:pt idx="33">
                  <c:v>3883436.1769583845</c:v>
                </c:pt>
                <c:pt idx="34">
                  <c:v>3779256.5406839279</c:v>
                </c:pt>
                <c:pt idx="35">
                  <c:v>3674742.9663686734</c:v>
                </c:pt>
                <c:pt idx="36">
                  <c:v>3570022.7877038405</c:v>
                </c:pt>
                <c:pt idx="37">
                  <c:v>3465223.5900962264</c:v>
                </c:pt>
                <c:pt idx="38">
                  <c:v>3360473.055225037</c:v>
                </c:pt>
                <c:pt idx="39">
                  <c:v>3255898.8054814297</c:v>
                </c:pt>
                <c:pt idx="40">
                  <c:v>3151628.2484802897</c:v>
                </c:pt>
                <c:pt idx="41">
                  <c:v>3047788.4218336735</c:v>
                </c:pt>
                <c:pt idx="42">
                  <c:v>2944505.838375051</c:v>
                </c:pt>
                <c:pt idx="43">
                  <c:v>2841906.3320229049</c:v>
                </c:pt>
                <c:pt idx="44">
                  <c:v>2740114.9044714835</c:v>
                </c:pt>
                <c:pt idx="45">
                  <c:v>2639255.5728954887</c:v>
                </c:pt>
                <c:pt idx="46">
                  <c:v>2539451.2188542588</c:v>
                </c:pt>
                <c:pt idx="47">
                  <c:v>2440823.4385795095</c:v>
                </c:pt>
                <c:pt idx="48">
                  <c:v>2343492.3948290618</c:v>
                </c:pt>
                <c:pt idx="49">
                  <c:v>2247576.6704870271</c:v>
                </c:pt>
                <c:pt idx="50">
                  <c:v>2153193.1240888312</c:v>
                </c:pt>
                <c:pt idx="51">
                  <c:v>2060456.74744709</c:v>
                </c:pt>
                <c:pt idx="52">
                  <c:v>1969480.5255517971</c:v>
                </c:pt>
                <c:pt idx="53">
                  <c:v>1880375.2989155203</c:v>
                </c:pt>
                <c:pt idx="54">
                  <c:v>1793249.6285313072</c:v>
                </c:pt>
                <c:pt idx="55">
                  <c:v>1708209.6636078402</c:v>
                </c:pt>
                <c:pt idx="56">
                  <c:v>1625359.0122429761</c:v>
                </c:pt>
                <c:pt idx="57">
                  <c:v>1544798.6151932389</c:v>
                </c:pt>
                <c:pt idx="58">
                  <c:v>1466626.6228930557</c:v>
                </c:pt>
                <c:pt idx="59">
                  <c:v>1390938.2758735716</c:v>
                </c:pt>
                <c:pt idx="60">
                  <c:v>1317825.7887267345</c:v>
                </c:pt>
                <c:pt idx="61">
                  <c:v>1247378.2377560171</c:v>
                </c:pt>
                <c:pt idx="62">
                  <c:v>1179681.4524506633</c:v>
                </c:pt>
                <c:pt idx="63">
                  <c:v>1114817.9109156784</c:v>
                </c:pt>
                <c:pt idx="64">
                  <c:v>1052866.6393849594</c:v>
                </c:pt>
                <c:pt idx="65">
                  <c:v>993903.11594000505</c:v>
                </c:pt>
                <c:pt idx="66">
                  <c:v>937999.17855149787</c:v>
                </c:pt>
                <c:pt idx="67">
                  <c:v>885222.93755580485</c:v>
                </c:pt>
                <c:pt idx="68">
                  <c:v>835638.69267302286</c:v>
                </c:pt>
                <c:pt idx="69">
                  <c:v>789306.85466767335</c:v>
                </c:pt>
                <c:pt idx="70">
                  <c:v>746283.87174749421</c:v>
                </c:pt>
                <c:pt idx="71">
                  <c:v>706622.16078999033</c:v>
                </c:pt>
                <c:pt idx="72">
                  <c:v>670370.04348054575</c:v>
                </c:pt>
                <c:pt idx="73">
                  <c:v>637571.68743989151</c:v>
                </c:pt>
                <c:pt idx="74">
                  <c:v>608267.05241266312</c:v>
                </c:pt>
                <c:pt idx="75">
                  <c:v>582491.84158260887</c:v>
                </c:pt>
                <c:pt idx="76">
                  <c:v>560277.45807375759</c:v>
                </c:pt>
                <c:pt idx="77">
                  <c:v>541650.96669055196</c:v>
                </c:pt>
                <c:pt idx="78">
                  <c:v>526635.06094355183</c:v>
                </c:pt>
                <c:pt idx="79">
                  <c:v>515248.03540088609</c:v>
                </c:pt>
                <c:pt idx="80">
                  <c:v>507503.76339914184</c:v>
                </c:pt>
                <c:pt idx="81">
                  <c:v>503411.68014083942</c:v>
                </c:pt>
                <c:pt idx="82">
                  <c:v>502976.77119909227</c:v>
                </c:pt>
                <c:pt idx="83">
                  <c:v>506199.56644345401</c:v>
                </c:pt>
                <c:pt idx="84">
                  <c:v>513076.13939435128</c:v>
                </c:pt>
                <c:pt idx="85">
                  <c:v>523598.1120068999</c:v>
                </c:pt>
                <c:pt idx="86">
                  <c:v>537752.66487825569</c:v>
                </c:pt>
                <c:pt idx="87">
                  <c:v>555522.55286608776</c:v>
                </c:pt>
                <c:pt idx="88">
                  <c:v>576886.12609912409</c:v>
                </c:pt>
                <c:pt idx="89">
                  <c:v>601817.35635418538</c:v>
                </c:pt>
                <c:pt idx="90">
                  <c:v>630285.86876756931</c:v>
                </c:pt>
                <c:pt idx="91">
                  <c:v>662256.97884213692</c:v>
                </c:pt>
                <c:pt idx="92">
                  <c:v>697691.73470503464</c:v>
                </c:pt>
                <c:pt idx="93">
                  <c:v>736546.96456454927</c:v>
                </c:pt>
                <c:pt idx="94">
                  <c:v>778775.32930828677</c:v>
                </c:pt>
                <c:pt idx="95">
                  <c:v>824325.38017858705</c:v>
                </c:pt>
                <c:pt idx="96">
                  <c:v>873141.6214549127</c:v>
                </c:pt>
                <c:pt idx="97">
                  <c:v>925164.57806683378</c:v>
                </c:pt>
                <c:pt idx="98">
                  <c:v>980330.86805524072</c:v>
                </c:pt>
                <c:pt idx="99">
                  <c:v>1038573.2797934986</c:v>
                </c:pt>
                <c:pt idx="100">
                  <c:v>1099820.8538744599</c:v>
                </c:pt>
                <c:pt idx="101">
                  <c:v>1163998.9695635727</c:v>
                </c:pt>
                <c:pt idx="102">
                  <c:v>1231029.4357127496</c:v>
                </c:pt>
                <c:pt idx="103">
                  <c:v>1300830.5860242415</c:v>
                </c:pt>
                <c:pt idx="104">
                  <c:v>1373317.3785484354</c:v>
                </c:pt>
                <c:pt idx="105">
                  <c:v>1448401.4992943751</c:v>
                </c:pt>
                <c:pt idx="106">
                  <c:v>1525991.4698267542</c:v>
                </c:pt>
                <c:pt idx="107">
                  <c:v>1605992.7587182976</c:v>
                </c:pt>
                <c:pt idx="108">
                  <c:v>1688307.8967217451</c:v>
                </c:pt>
                <c:pt idx="109">
                  <c:v>1772836.5955211138</c:v>
                </c:pt>
                <c:pt idx="110">
                  <c:v>1859475.8699175657</c:v>
                </c:pt>
                <c:pt idx="111">
                  <c:v>1948120.163301005</c:v>
                </c:pt>
                <c:pt idx="112">
                  <c:v>2038661.4762545507</c:v>
                </c:pt>
                <c:pt idx="113">
                  <c:v>2130989.4981351886</c:v>
                </c:pt>
                <c:pt idx="114">
                  <c:v>2224991.7414702997</c:v>
                </c:pt>
                <c:pt idx="115">
                  <c:v>2320553.6790063148</c:v>
                </c:pt>
                <c:pt idx="116">
                  <c:v>2417558.8832425354</c:v>
                </c:pt>
                <c:pt idx="117">
                  <c:v>2515889.1682801037</c:v>
                </c:pt>
                <c:pt idx="118">
                  <c:v>2615424.7338133231</c:v>
                </c:pt>
                <c:pt idx="119">
                  <c:v>2716044.3110878691</c:v>
                </c:pt>
                <c:pt idx="120">
                  <c:v>2817625.3106480902</c:v>
                </c:pt>
                <c:pt idx="121">
                  <c:v>2920043.9716933751</c:v>
                </c:pt>
                <c:pt idx="122">
                  <c:v>3023175.5128616262</c:v>
                </c:pt>
                <c:pt idx="123">
                  <c:v>3126894.2842561258</c:v>
                </c:pt>
                <c:pt idx="124">
                  <c:v>3231073.9205305823</c:v>
                </c:pt>
                <c:pt idx="125">
                  <c:v>3335587.4948458378</c:v>
                </c:pt>
                <c:pt idx="126">
                  <c:v>3440307.6735106697</c:v>
                </c:pt>
                <c:pt idx="127">
                  <c:v>3545106.8711182838</c:v>
                </c:pt>
                <c:pt idx="128">
                  <c:v>3649857.4059894732</c:v>
                </c:pt>
                <c:pt idx="129">
                  <c:v>3754431.6557330806</c:v>
                </c:pt>
                <c:pt idx="130">
                  <c:v>3858702.2127342215</c:v>
                </c:pt>
                <c:pt idx="131">
                  <c:v>3962542.0393808372</c:v>
                </c:pt>
                <c:pt idx="132">
                  <c:v>4065824.6228394592</c:v>
                </c:pt>
                <c:pt idx="133">
                  <c:v>4168424.1291916054</c:v>
                </c:pt>
                <c:pt idx="134">
                  <c:v>4270215.5567430276</c:v>
                </c:pt>
                <c:pt idx="135">
                  <c:v>4371074.888319022</c:v>
                </c:pt>
                <c:pt idx="136">
                  <c:v>4470879.242360252</c:v>
                </c:pt>
                <c:pt idx="137">
                  <c:v>4569507.0226350008</c:v>
                </c:pt>
                <c:pt idx="138">
                  <c:v>4666838.0663854489</c:v>
                </c:pt>
                <c:pt idx="139">
                  <c:v>4762753.790727484</c:v>
                </c:pt>
                <c:pt idx="140">
                  <c:v>4857137.3371256795</c:v>
                </c:pt>
                <c:pt idx="141">
                  <c:v>4949873.7137674214</c:v>
                </c:pt>
                <c:pt idx="142">
                  <c:v>5040849.9356627129</c:v>
                </c:pt>
                <c:pt idx="143">
                  <c:v>5129955.1622989895</c:v>
                </c:pt>
                <c:pt idx="144">
                  <c:v>5217080.8326832037</c:v>
                </c:pt>
                <c:pt idx="145">
                  <c:v>5302120.7976066703</c:v>
                </c:pt>
                <c:pt idx="146">
                  <c:v>5384971.4489715341</c:v>
                </c:pt>
                <c:pt idx="147">
                  <c:v>5465531.8460212722</c:v>
                </c:pt>
                <c:pt idx="148">
                  <c:v>5543703.8383214548</c:v>
                </c:pt>
                <c:pt idx="149">
                  <c:v>5619392.1853409391</c:v>
                </c:pt>
                <c:pt idx="150">
                  <c:v>5692504.6724877767</c:v>
                </c:pt>
                <c:pt idx="151">
                  <c:v>5762952.2234584941</c:v>
                </c:pt>
                <c:pt idx="152">
                  <c:v>5830649.0087638469</c:v>
                </c:pt>
                <c:pt idx="153">
                  <c:v>5895512.5502988324</c:v>
                </c:pt>
                <c:pt idx="154">
                  <c:v>5957463.8218295518</c:v>
                </c:pt>
                <c:pt idx="155">
                  <c:v>6016427.3452745061</c:v>
                </c:pt>
                <c:pt idx="156">
                  <c:v>6072331.2826630129</c:v>
                </c:pt>
                <c:pt idx="157">
                  <c:v>6125107.5236587059</c:v>
                </c:pt>
                <c:pt idx="158">
                  <c:v>6174691.7685414879</c:v>
                </c:pt>
                <c:pt idx="159">
                  <c:v>6221023.6065468378</c:v>
                </c:pt>
                <c:pt idx="160">
                  <c:v>6264046.589467017</c:v>
                </c:pt>
                <c:pt idx="161">
                  <c:v>6303708.3004245199</c:v>
                </c:pt>
                <c:pt idx="162">
                  <c:v>6339960.4177339654</c:v>
                </c:pt>
                <c:pt idx="163">
                  <c:v>6372758.7737746192</c:v>
                </c:pt>
                <c:pt idx="164">
                  <c:v>6402063.4088018481</c:v>
                </c:pt>
                <c:pt idx="165">
                  <c:v>6427838.6196319014</c:v>
                </c:pt>
                <c:pt idx="166">
                  <c:v>6450053.0031407531</c:v>
                </c:pt>
                <c:pt idx="167">
                  <c:v>6468679.4945239592</c:v>
                </c:pt>
                <c:pt idx="168">
                  <c:v>6483695.4002709594</c:v>
                </c:pt>
                <c:pt idx="169">
                  <c:v>6495082.4258136246</c:v>
                </c:pt>
                <c:pt idx="170">
                  <c:v>6502826.6978153689</c:v>
                </c:pt>
                <c:pt idx="171">
                  <c:v>6506918.7810736708</c:v>
                </c:pt>
                <c:pt idx="172">
                  <c:v>6507353.6900154185</c:v>
                </c:pt>
                <c:pt idx="173">
                  <c:v>6504130.8947710562</c:v>
                </c:pt>
                <c:pt idx="174">
                  <c:v>6497254.3218201594</c:v>
                </c:pt>
                <c:pt idx="175">
                  <c:v>6486732.3492076108</c:v>
                </c:pt>
                <c:pt idx="176">
                  <c:v>6472577.796336255</c:v>
                </c:pt>
                <c:pt idx="177">
                  <c:v>6454807.9083484225</c:v>
                </c:pt>
                <c:pt idx="178">
                  <c:v>6433444.3351153862</c:v>
                </c:pt>
                <c:pt idx="179">
                  <c:v>6408513.1048603253</c:v>
                </c:pt>
                <c:pt idx="180">
                  <c:v>6380044.5924469419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CE-4721-9399-008603083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724271"/>
        <c:axId val="1898780527"/>
      </c:scatterChart>
      <c:valAx>
        <c:axId val="211572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898780527"/>
        <c:crosses val="autoZero"/>
        <c:crossBetween val="midCat"/>
      </c:valAx>
      <c:valAx>
        <c:axId val="18987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11572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Cosine</a:t>
            </a:r>
            <a:r>
              <a:rPr lang="en-US" baseline="0"/>
              <a:t> Fit for Fast Axis Alignment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Intensity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Sheet1!$AL$8:$AL$108</c:f>
              <c:numCache>
                <c:formatCode>General</c:formatCode>
                <c:ptCount val="101"/>
                <c:pt idx="0">
                  <c:v>75</c:v>
                </c:pt>
                <c:pt idx="1">
                  <c:v>75.099999999999994</c:v>
                </c:pt>
                <c:pt idx="2">
                  <c:v>75.2</c:v>
                </c:pt>
                <c:pt idx="3">
                  <c:v>75.3</c:v>
                </c:pt>
                <c:pt idx="4">
                  <c:v>75.400000000000006</c:v>
                </c:pt>
                <c:pt idx="5">
                  <c:v>75.5</c:v>
                </c:pt>
                <c:pt idx="6">
                  <c:v>75.599999999999994</c:v>
                </c:pt>
                <c:pt idx="7">
                  <c:v>75.7</c:v>
                </c:pt>
                <c:pt idx="8">
                  <c:v>75.8</c:v>
                </c:pt>
                <c:pt idx="9">
                  <c:v>75.900000000000006</c:v>
                </c:pt>
                <c:pt idx="10">
                  <c:v>76</c:v>
                </c:pt>
                <c:pt idx="11">
                  <c:v>76.099999999999994</c:v>
                </c:pt>
                <c:pt idx="12">
                  <c:v>76.2</c:v>
                </c:pt>
                <c:pt idx="13">
                  <c:v>76.3</c:v>
                </c:pt>
                <c:pt idx="14">
                  <c:v>76.400000000000006</c:v>
                </c:pt>
                <c:pt idx="15">
                  <c:v>76.5</c:v>
                </c:pt>
                <c:pt idx="16">
                  <c:v>76.599999999999994</c:v>
                </c:pt>
                <c:pt idx="17">
                  <c:v>76.7</c:v>
                </c:pt>
                <c:pt idx="18">
                  <c:v>76.8</c:v>
                </c:pt>
                <c:pt idx="19">
                  <c:v>76.900000000000006</c:v>
                </c:pt>
                <c:pt idx="20">
                  <c:v>77</c:v>
                </c:pt>
                <c:pt idx="21">
                  <c:v>77.099999999999994</c:v>
                </c:pt>
                <c:pt idx="22">
                  <c:v>77.2</c:v>
                </c:pt>
                <c:pt idx="23">
                  <c:v>77.3</c:v>
                </c:pt>
                <c:pt idx="24">
                  <c:v>77.400000000000006</c:v>
                </c:pt>
                <c:pt idx="25">
                  <c:v>77.5</c:v>
                </c:pt>
                <c:pt idx="26">
                  <c:v>77.599999999999994</c:v>
                </c:pt>
                <c:pt idx="27">
                  <c:v>77.7</c:v>
                </c:pt>
                <c:pt idx="28">
                  <c:v>77.8</c:v>
                </c:pt>
                <c:pt idx="29">
                  <c:v>77.900000000000006</c:v>
                </c:pt>
                <c:pt idx="30">
                  <c:v>78</c:v>
                </c:pt>
                <c:pt idx="31">
                  <c:v>78.099999999999994</c:v>
                </c:pt>
                <c:pt idx="32">
                  <c:v>78.2</c:v>
                </c:pt>
                <c:pt idx="33">
                  <c:v>78.3</c:v>
                </c:pt>
                <c:pt idx="34">
                  <c:v>78.400000000000006</c:v>
                </c:pt>
                <c:pt idx="35">
                  <c:v>78.5</c:v>
                </c:pt>
                <c:pt idx="36">
                  <c:v>78.599999999999994</c:v>
                </c:pt>
                <c:pt idx="37">
                  <c:v>78.7</c:v>
                </c:pt>
                <c:pt idx="38">
                  <c:v>78.8</c:v>
                </c:pt>
                <c:pt idx="39">
                  <c:v>78.900000000000006</c:v>
                </c:pt>
                <c:pt idx="40">
                  <c:v>79</c:v>
                </c:pt>
                <c:pt idx="41">
                  <c:v>79.099999999999994</c:v>
                </c:pt>
                <c:pt idx="42">
                  <c:v>79.2</c:v>
                </c:pt>
                <c:pt idx="43">
                  <c:v>79.3</c:v>
                </c:pt>
                <c:pt idx="44">
                  <c:v>79.400000000000006</c:v>
                </c:pt>
                <c:pt idx="45">
                  <c:v>79.5</c:v>
                </c:pt>
                <c:pt idx="46">
                  <c:v>79.599999999999994</c:v>
                </c:pt>
                <c:pt idx="47">
                  <c:v>79.7</c:v>
                </c:pt>
                <c:pt idx="48">
                  <c:v>79.8</c:v>
                </c:pt>
                <c:pt idx="49">
                  <c:v>79.900000000000006</c:v>
                </c:pt>
                <c:pt idx="50">
                  <c:v>80</c:v>
                </c:pt>
                <c:pt idx="51">
                  <c:v>80.099999999999994</c:v>
                </c:pt>
                <c:pt idx="52">
                  <c:v>80.2</c:v>
                </c:pt>
                <c:pt idx="53">
                  <c:v>80.3</c:v>
                </c:pt>
                <c:pt idx="54">
                  <c:v>80.400000000000006</c:v>
                </c:pt>
                <c:pt idx="55">
                  <c:v>80.5</c:v>
                </c:pt>
                <c:pt idx="56">
                  <c:v>80.599999999999994</c:v>
                </c:pt>
                <c:pt idx="57">
                  <c:v>80.7</c:v>
                </c:pt>
                <c:pt idx="58">
                  <c:v>80.8</c:v>
                </c:pt>
                <c:pt idx="59">
                  <c:v>80.900000000000006</c:v>
                </c:pt>
                <c:pt idx="60">
                  <c:v>81</c:v>
                </c:pt>
                <c:pt idx="61">
                  <c:v>81.099999999999994</c:v>
                </c:pt>
                <c:pt idx="62">
                  <c:v>81.2</c:v>
                </c:pt>
                <c:pt idx="63">
                  <c:v>81.3</c:v>
                </c:pt>
                <c:pt idx="64">
                  <c:v>81.400000000000006</c:v>
                </c:pt>
                <c:pt idx="65">
                  <c:v>81.5</c:v>
                </c:pt>
                <c:pt idx="66">
                  <c:v>81.599999999999994</c:v>
                </c:pt>
                <c:pt idx="67">
                  <c:v>81.7</c:v>
                </c:pt>
                <c:pt idx="68">
                  <c:v>81.8</c:v>
                </c:pt>
                <c:pt idx="69">
                  <c:v>81.900000000000006</c:v>
                </c:pt>
                <c:pt idx="70">
                  <c:v>82</c:v>
                </c:pt>
                <c:pt idx="71">
                  <c:v>82.1</c:v>
                </c:pt>
                <c:pt idx="72">
                  <c:v>82.2</c:v>
                </c:pt>
                <c:pt idx="73">
                  <c:v>82.3</c:v>
                </c:pt>
                <c:pt idx="74">
                  <c:v>82.4</c:v>
                </c:pt>
                <c:pt idx="75">
                  <c:v>82.5</c:v>
                </c:pt>
                <c:pt idx="76">
                  <c:v>82.6</c:v>
                </c:pt>
                <c:pt idx="77">
                  <c:v>82.7</c:v>
                </c:pt>
                <c:pt idx="78">
                  <c:v>82.8</c:v>
                </c:pt>
                <c:pt idx="79">
                  <c:v>82.9</c:v>
                </c:pt>
                <c:pt idx="80">
                  <c:v>83</c:v>
                </c:pt>
                <c:pt idx="81">
                  <c:v>83.1</c:v>
                </c:pt>
                <c:pt idx="82">
                  <c:v>83.2</c:v>
                </c:pt>
                <c:pt idx="83">
                  <c:v>83.3</c:v>
                </c:pt>
                <c:pt idx="84">
                  <c:v>83.4</c:v>
                </c:pt>
                <c:pt idx="85">
                  <c:v>83.5</c:v>
                </c:pt>
                <c:pt idx="86">
                  <c:v>83.6</c:v>
                </c:pt>
                <c:pt idx="87">
                  <c:v>83.7</c:v>
                </c:pt>
                <c:pt idx="88">
                  <c:v>83.8</c:v>
                </c:pt>
                <c:pt idx="89">
                  <c:v>83.9</c:v>
                </c:pt>
                <c:pt idx="90">
                  <c:v>84</c:v>
                </c:pt>
                <c:pt idx="91">
                  <c:v>84.1</c:v>
                </c:pt>
                <c:pt idx="92">
                  <c:v>84.2</c:v>
                </c:pt>
                <c:pt idx="93">
                  <c:v>84.3</c:v>
                </c:pt>
                <c:pt idx="94">
                  <c:v>84.4</c:v>
                </c:pt>
                <c:pt idx="95">
                  <c:v>84.5</c:v>
                </c:pt>
                <c:pt idx="96">
                  <c:v>84.6</c:v>
                </c:pt>
                <c:pt idx="97">
                  <c:v>84.7</c:v>
                </c:pt>
                <c:pt idx="98">
                  <c:v>84.8</c:v>
                </c:pt>
                <c:pt idx="99">
                  <c:v>84.9</c:v>
                </c:pt>
                <c:pt idx="100">
                  <c:v>85</c:v>
                </c:pt>
              </c:numCache>
            </c:numRef>
          </c:xVal>
          <c:yVal>
            <c:numRef>
              <c:f>Sheet1!$AM$8:$AM$108</c:f>
              <c:numCache>
                <c:formatCode>General</c:formatCode>
                <c:ptCount val="101"/>
                <c:pt idx="0">
                  <c:v>536896.29060229205</c:v>
                </c:pt>
                <c:pt idx="1">
                  <c:v>534289.76835601695</c:v>
                </c:pt>
                <c:pt idx="2">
                  <c:v>531709.58237305703</c:v>
                </c:pt>
                <c:pt idx="3">
                  <c:v>529254.27960564103</c:v>
                </c:pt>
                <c:pt idx="4">
                  <c:v>526943.91250455996</c:v>
                </c:pt>
                <c:pt idx="5">
                  <c:v>524632.081949485</c:v>
                </c:pt>
                <c:pt idx="6">
                  <c:v>522373.25945729302</c:v>
                </c:pt>
                <c:pt idx="7">
                  <c:v>520085.03322765901</c:v>
                </c:pt>
                <c:pt idx="8">
                  <c:v>517804.27355492098</c:v>
                </c:pt>
                <c:pt idx="9">
                  <c:v>515762.83579776098</c:v>
                </c:pt>
                <c:pt idx="10">
                  <c:v>513648.64746919798</c:v>
                </c:pt>
                <c:pt idx="11">
                  <c:v>511625.58385342202</c:v>
                </c:pt>
                <c:pt idx="12">
                  <c:v>509547.10808515898</c:v>
                </c:pt>
                <c:pt idx="13">
                  <c:v>507784.36553077301</c:v>
                </c:pt>
                <c:pt idx="14">
                  <c:v>505672.70233589102</c:v>
                </c:pt>
                <c:pt idx="15">
                  <c:v>503718.74901160301</c:v>
                </c:pt>
                <c:pt idx="16">
                  <c:v>502266.53926641401</c:v>
                </c:pt>
                <c:pt idx="17">
                  <c:v>500412.527534511</c:v>
                </c:pt>
                <c:pt idx="18">
                  <c:v>498566.18926607998</c:v>
                </c:pt>
                <c:pt idx="19">
                  <c:v>496796.84046183602</c:v>
                </c:pt>
                <c:pt idx="20">
                  <c:v>495149.06643860502</c:v>
                </c:pt>
                <c:pt idx="21">
                  <c:v>493663.257151709</c:v>
                </c:pt>
                <c:pt idx="22">
                  <c:v>491790.86061041098</c:v>
                </c:pt>
                <c:pt idx="23">
                  <c:v>490157.99697786802</c:v>
                </c:pt>
                <c:pt idx="24">
                  <c:v>488398.38977979001</c:v>
                </c:pt>
                <c:pt idx="25">
                  <c:v>486766.64154176001</c:v>
                </c:pt>
                <c:pt idx="26">
                  <c:v>485174.84998070297</c:v>
                </c:pt>
                <c:pt idx="27">
                  <c:v>483798.45943239803</c:v>
                </c:pt>
                <c:pt idx="28">
                  <c:v>482487.034483011</c:v>
                </c:pt>
                <c:pt idx="29">
                  <c:v>481124.14829971298</c:v>
                </c:pt>
                <c:pt idx="30">
                  <c:v>479550.74269737798</c:v>
                </c:pt>
                <c:pt idx="31">
                  <c:v>478498.83673155901</c:v>
                </c:pt>
                <c:pt idx="32">
                  <c:v>476818.191809799</c:v>
                </c:pt>
                <c:pt idx="33">
                  <c:v>475948.41746956401</c:v>
                </c:pt>
                <c:pt idx="34">
                  <c:v>474459.42511628999</c:v>
                </c:pt>
                <c:pt idx="35">
                  <c:v>473496.10991943697</c:v>
                </c:pt>
                <c:pt idx="36">
                  <c:v>472338.21343179001</c:v>
                </c:pt>
                <c:pt idx="37">
                  <c:v>471060.16926798201</c:v>
                </c:pt>
                <c:pt idx="38">
                  <c:v>470290.689187059</c:v>
                </c:pt>
                <c:pt idx="39">
                  <c:v>469177.03638562799</c:v>
                </c:pt>
                <c:pt idx="40">
                  <c:v>467997.61927999201</c:v>
                </c:pt>
                <c:pt idx="41">
                  <c:v>467232.91250613</c:v>
                </c:pt>
                <c:pt idx="42">
                  <c:v>466470.21756151097</c:v>
                </c:pt>
                <c:pt idx="43">
                  <c:v>465507.98569422303</c:v>
                </c:pt>
                <c:pt idx="44">
                  <c:v>464674.113726268</c:v>
                </c:pt>
                <c:pt idx="45">
                  <c:v>464006.960643692</c:v>
                </c:pt>
                <c:pt idx="46">
                  <c:v>463141.624164493</c:v>
                </c:pt>
                <c:pt idx="47">
                  <c:v>462664.542690526</c:v>
                </c:pt>
                <c:pt idx="48">
                  <c:v>461769.55987099803</c:v>
                </c:pt>
                <c:pt idx="49">
                  <c:v>461593.53236231802</c:v>
                </c:pt>
                <c:pt idx="50">
                  <c:v>460820.89427198702</c:v>
                </c:pt>
                <c:pt idx="51">
                  <c:v>460117.28957349301</c:v>
                </c:pt>
                <c:pt idx="52">
                  <c:v>459758.05973264802</c:v>
                </c:pt>
                <c:pt idx="53">
                  <c:v>459224.16420189</c:v>
                </c:pt>
                <c:pt idx="54">
                  <c:v>458667.02581020002</c:v>
                </c:pt>
                <c:pt idx="55">
                  <c:v>458424.53128985199</c:v>
                </c:pt>
                <c:pt idx="56">
                  <c:v>458046.33231553802</c:v>
                </c:pt>
                <c:pt idx="57">
                  <c:v>457654.73870630801</c:v>
                </c:pt>
                <c:pt idx="58">
                  <c:v>457105.81244741898</c:v>
                </c:pt>
                <c:pt idx="59">
                  <c:v>457261.97877634497</c:v>
                </c:pt>
                <c:pt idx="60">
                  <c:v>456833.89680254098</c:v>
                </c:pt>
                <c:pt idx="61">
                  <c:v>456460.15168914897</c:v>
                </c:pt>
                <c:pt idx="62">
                  <c:v>456837.68782600103</c:v>
                </c:pt>
                <c:pt idx="63">
                  <c:v>456435.38552234398</c:v>
                </c:pt>
                <c:pt idx="64">
                  <c:v>456454.48235536698</c:v>
                </c:pt>
                <c:pt idx="65">
                  <c:v>456619.35206321802</c:v>
                </c:pt>
                <c:pt idx="66">
                  <c:v>456518.82917839201</c:v>
                </c:pt>
                <c:pt idx="67">
                  <c:v>456374.86739765701</c:v>
                </c:pt>
                <c:pt idx="68">
                  <c:v>456664.16635798302</c:v>
                </c:pt>
                <c:pt idx="69">
                  <c:v>456708.78038734198</c:v>
                </c:pt>
                <c:pt idx="70">
                  <c:v>456741.22593383299</c:v>
                </c:pt>
                <c:pt idx="71">
                  <c:v>457145.471530537</c:v>
                </c:pt>
                <c:pt idx="72">
                  <c:v>457191.69697527803</c:v>
                </c:pt>
                <c:pt idx="73">
                  <c:v>457376.97539653198</c:v>
                </c:pt>
                <c:pt idx="74">
                  <c:v>457904.25852349098</c:v>
                </c:pt>
                <c:pt idx="75">
                  <c:v>458148.71831401403</c:v>
                </c:pt>
                <c:pt idx="76">
                  <c:v>458308.350766777</c:v>
                </c:pt>
                <c:pt idx="77">
                  <c:v>458834.49939079903</c:v>
                </c:pt>
                <c:pt idx="78">
                  <c:v>459001.80809582298</c:v>
                </c:pt>
                <c:pt idx="79">
                  <c:v>459764.11892162502</c:v>
                </c:pt>
                <c:pt idx="80">
                  <c:v>460371.61750247999</c:v>
                </c:pt>
                <c:pt idx="81">
                  <c:v>460767.35714135697</c:v>
                </c:pt>
                <c:pt idx="82">
                  <c:v>461502.114921453</c:v>
                </c:pt>
                <c:pt idx="83">
                  <c:v>462094.95004169899</c:v>
                </c:pt>
                <c:pt idx="84">
                  <c:v>462923.57977467898</c:v>
                </c:pt>
                <c:pt idx="85">
                  <c:v>463501.66836120299</c:v>
                </c:pt>
                <c:pt idx="86">
                  <c:v>464112.15247686801</c:v>
                </c:pt>
                <c:pt idx="87">
                  <c:v>465274.78421671502</c:v>
                </c:pt>
                <c:pt idx="88">
                  <c:v>465988.88795036002</c:v>
                </c:pt>
                <c:pt idx="89">
                  <c:v>466997.23473600199</c:v>
                </c:pt>
                <c:pt idx="90">
                  <c:v>467937.60199345398</c:v>
                </c:pt>
                <c:pt idx="91">
                  <c:v>468960.42600745702</c:v>
                </c:pt>
                <c:pt idx="92">
                  <c:v>470013.54291817901</c:v>
                </c:pt>
                <c:pt idx="93">
                  <c:v>470889.29804945597</c:v>
                </c:pt>
                <c:pt idx="94">
                  <c:v>471544.72429543501</c:v>
                </c:pt>
                <c:pt idx="95">
                  <c:v>472986.493533817</c:v>
                </c:pt>
                <c:pt idx="96">
                  <c:v>473874.21044074302</c:v>
                </c:pt>
                <c:pt idx="97">
                  <c:v>475024.71741660498</c:v>
                </c:pt>
                <c:pt idx="98">
                  <c:v>476339.36859944399</c:v>
                </c:pt>
                <c:pt idx="99">
                  <c:v>477468.36106082599</c:v>
                </c:pt>
                <c:pt idx="100">
                  <c:v>478698.71558693901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C-479C-8690-E6B6BC8400BB}"/>
            </c:ext>
          </c:extLst>
        </c:ser>
        <c:ser>
          <c:idx val="1"/>
          <c:order val="1"/>
          <c:tx>
            <c:v>Fit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Sheet1!$AL$8:$AL$108</c:f>
              <c:numCache>
                <c:formatCode>General</c:formatCode>
                <c:ptCount val="101"/>
                <c:pt idx="0">
                  <c:v>75</c:v>
                </c:pt>
                <c:pt idx="1">
                  <c:v>75.099999999999994</c:v>
                </c:pt>
                <c:pt idx="2">
                  <c:v>75.2</c:v>
                </c:pt>
                <c:pt idx="3">
                  <c:v>75.3</c:v>
                </c:pt>
                <c:pt idx="4">
                  <c:v>75.400000000000006</c:v>
                </c:pt>
                <c:pt idx="5">
                  <c:v>75.5</c:v>
                </c:pt>
                <c:pt idx="6">
                  <c:v>75.599999999999994</c:v>
                </c:pt>
                <c:pt idx="7">
                  <c:v>75.7</c:v>
                </c:pt>
                <c:pt idx="8">
                  <c:v>75.8</c:v>
                </c:pt>
                <c:pt idx="9">
                  <c:v>75.900000000000006</c:v>
                </c:pt>
                <c:pt idx="10">
                  <c:v>76</c:v>
                </c:pt>
                <c:pt idx="11">
                  <c:v>76.099999999999994</c:v>
                </c:pt>
                <c:pt idx="12">
                  <c:v>76.2</c:v>
                </c:pt>
                <c:pt idx="13">
                  <c:v>76.3</c:v>
                </c:pt>
                <c:pt idx="14">
                  <c:v>76.400000000000006</c:v>
                </c:pt>
                <c:pt idx="15">
                  <c:v>76.5</c:v>
                </c:pt>
                <c:pt idx="16">
                  <c:v>76.599999999999994</c:v>
                </c:pt>
                <c:pt idx="17">
                  <c:v>76.7</c:v>
                </c:pt>
                <c:pt idx="18">
                  <c:v>76.8</c:v>
                </c:pt>
                <c:pt idx="19">
                  <c:v>76.900000000000006</c:v>
                </c:pt>
                <c:pt idx="20">
                  <c:v>77</c:v>
                </c:pt>
                <c:pt idx="21">
                  <c:v>77.099999999999994</c:v>
                </c:pt>
                <c:pt idx="22">
                  <c:v>77.2</c:v>
                </c:pt>
                <c:pt idx="23">
                  <c:v>77.3</c:v>
                </c:pt>
                <c:pt idx="24">
                  <c:v>77.400000000000006</c:v>
                </c:pt>
                <c:pt idx="25">
                  <c:v>77.5</c:v>
                </c:pt>
                <c:pt idx="26">
                  <c:v>77.599999999999994</c:v>
                </c:pt>
                <c:pt idx="27">
                  <c:v>77.7</c:v>
                </c:pt>
                <c:pt idx="28">
                  <c:v>77.8</c:v>
                </c:pt>
                <c:pt idx="29">
                  <c:v>77.900000000000006</c:v>
                </c:pt>
                <c:pt idx="30">
                  <c:v>78</c:v>
                </c:pt>
                <c:pt idx="31">
                  <c:v>78.099999999999994</c:v>
                </c:pt>
                <c:pt idx="32">
                  <c:v>78.2</c:v>
                </c:pt>
                <c:pt idx="33">
                  <c:v>78.3</c:v>
                </c:pt>
                <c:pt idx="34">
                  <c:v>78.400000000000006</c:v>
                </c:pt>
                <c:pt idx="35">
                  <c:v>78.5</c:v>
                </c:pt>
                <c:pt idx="36">
                  <c:v>78.599999999999994</c:v>
                </c:pt>
                <c:pt idx="37">
                  <c:v>78.7</c:v>
                </c:pt>
                <c:pt idx="38">
                  <c:v>78.8</c:v>
                </c:pt>
                <c:pt idx="39">
                  <c:v>78.900000000000006</c:v>
                </c:pt>
                <c:pt idx="40">
                  <c:v>79</c:v>
                </c:pt>
                <c:pt idx="41">
                  <c:v>79.099999999999994</c:v>
                </c:pt>
                <c:pt idx="42">
                  <c:v>79.2</c:v>
                </c:pt>
                <c:pt idx="43">
                  <c:v>79.3</c:v>
                </c:pt>
                <c:pt idx="44">
                  <c:v>79.400000000000006</c:v>
                </c:pt>
                <c:pt idx="45">
                  <c:v>79.5</c:v>
                </c:pt>
                <c:pt idx="46">
                  <c:v>79.599999999999994</c:v>
                </c:pt>
                <c:pt idx="47">
                  <c:v>79.7</c:v>
                </c:pt>
                <c:pt idx="48">
                  <c:v>79.8</c:v>
                </c:pt>
                <c:pt idx="49">
                  <c:v>79.900000000000006</c:v>
                </c:pt>
                <c:pt idx="50">
                  <c:v>80</c:v>
                </c:pt>
                <c:pt idx="51">
                  <c:v>80.099999999999994</c:v>
                </c:pt>
                <c:pt idx="52">
                  <c:v>80.2</c:v>
                </c:pt>
                <c:pt idx="53">
                  <c:v>80.3</c:v>
                </c:pt>
                <c:pt idx="54">
                  <c:v>80.400000000000006</c:v>
                </c:pt>
                <c:pt idx="55">
                  <c:v>80.5</c:v>
                </c:pt>
                <c:pt idx="56">
                  <c:v>80.599999999999994</c:v>
                </c:pt>
                <c:pt idx="57">
                  <c:v>80.7</c:v>
                </c:pt>
                <c:pt idx="58">
                  <c:v>80.8</c:v>
                </c:pt>
                <c:pt idx="59">
                  <c:v>80.900000000000006</c:v>
                </c:pt>
                <c:pt idx="60">
                  <c:v>81</c:v>
                </c:pt>
                <c:pt idx="61">
                  <c:v>81.099999999999994</c:v>
                </c:pt>
                <c:pt idx="62">
                  <c:v>81.2</c:v>
                </c:pt>
                <c:pt idx="63">
                  <c:v>81.3</c:v>
                </c:pt>
                <c:pt idx="64">
                  <c:v>81.400000000000006</c:v>
                </c:pt>
                <c:pt idx="65">
                  <c:v>81.5</c:v>
                </c:pt>
                <c:pt idx="66">
                  <c:v>81.599999999999994</c:v>
                </c:pt>
                <c:pt idx="67">
                  <c:v>81.7</c:v>
                </c:pt>
                <c:pt idx="68">
                  <c:v>81.8</c:v>
                </c:pt>
                <c:pt idx="69">
                  <c:v>81.900000000000006</c:v>
                </c:pt>
                <c:pt idx="70">
                  <c:v>82</c:v>
                </c:pt>
                <c:pt idx="71">
                  <c:v>82.1</c:v>
                </c:pt>
                <c:pt idx="72">
                  <c:v>82.2</c:v>
                </c:pt>
                <c:pt idx="73">
                  <c:v>82.3</c:v>
                </c:pt>
                <c:pt idx="74">
                  <c:v>82.4</c:v>
                </c:pt>
                <c:pt idx="75">
                  <c:v>82.5</c:v>
                </c:pt>
                <c:pt idx="76">
                  <c:v>82.6</c:v>
                </c:pt>
                <c:pt idx="77">
                  <c:v>82.7</c:v>
                </c:pt>
                <c:pt idx="78">
                  <c:v>82.8</c:v>
                </c:pt>
                <c:pt idx="79">
                  <c:v>82.9</c:v>
                </c:pt>
                <c:pt idx="80">
                  <c:v>83</c:v>
                </c:pt>
                <c:pt idx="81">
                  <c:v>83.1</c:v>
                </c:pt>
                <c:pt idx="82">
                  <c:v>83.2</c:v>
                </c:pt>
                <c:pt idx="83">
                  <c:v>83.3</c:v>
                </c:pt>
                <c:pt idx="84">
                  <c:v>83.4</c:v>
                </c:pt>
                <c:pt idx="85">
                  <c:v>83.5</c:v>
                </c:pt>
                <c:pt idx="86">
                  <c:v>83.6</c:v>
                </c:pt>
                <c:pt idx="87">
                  <c:v>83.7</c:v>
                </c:pt>
                <c:pt idx="88">
                  <c:v>83.8</c:v>
                </c:pt>
                <c:pt idx="89">
                  <c:v>83.9</c:v>
                </c:pt>
                <c:pt idx="90">
                  <c:v>84</c:v>
                </c:pt>
                <c:pt idx="91">
                  <c:v>84.1</c:v>
                </c:pt>
                <c:pt idx="92">
                  <c:v>84.2</c:v>
                </c:pt>
                <c:pt idx="93">
                  <c:v>84.3</c:v>
                </c:pt>
                <c:pt idx="94">
                  <c:v>84.4</c:v>
                </c:pt>
                <c:pt idx="95">
                  <c:v>84.5</c:v>
                </c:pt>
                <c:pt idx="96">
                  <c:v>84.6</c:v>
                </c:pt>
                <c:pt idx="97">
                  <c:v>84.7</c:v>
                </c:pt>
                <c:pt idx="98">
                  <c:v>84.8</c:v>
                </c:pt>
                <c:pt idx="99">
                  <c:v>84.9</c:v>
                </c:pt>
                <c:pt idx="100">
                  <c:v>85</c:v>
                </c:pt>
              </c:numCache>
            </c:numRef>
          </c:xVal>
          <c:yVal>
            <c:numRef>
              <c:f>Sheet1!$AN$8:$AN$108</c:f>
              <c:numCache>
                <c:formatCode>General</c:formatCode>
                <c:ptCount val="101"/>
                <c:pt idx="0">
                  <c:v>582491.84158260887</c:v>
                </c:pt>
                <c:pt idx="1">
                  <c:v>580109.68531443365</c:v>
                </c:pt>
                <c:pt idx="2">
                  <c:v>577763.16992498608</c:v>
                </c:pt>
                <c:pt idx="3">
                  <c:v>575452.3240058166</c:v>
                </c:pt>
                <c:pt idx="4">
                  <c:v>573177.17571385251</c:v>
                </c:pt>
                <c:pt idx="5">
                  <c:v>570937.75277105905</c:v>
                </c:pt>
                <c:pt idx="6">
                  <c:v>568734.08246409707</c:v>
                </c:pt>
                <c:pt idx="7">
                  <c:v>566566.19164399337</c:v>
                </c:pt>
                <c:pt idx="8">
                  <c:v>564434.10672581475</c:v>
                </c:pt>
                <c:pt idx="9">
                  <c:v>562337.85368834203</c:v>
                </c:pt>
                <c:pt idx="10">
                  <c:v>560277.45807375759</c:v>
                </c:pt>
                <c:pt idx="11">
                  <c:v>558252.94498733152</c:v>
                </c:pt>
                <c:pt idx="12">
                  <c:v>556264.33909711707</c:v>
                </c:pt>
                <c:pt idx="13">
                  <c:v>554311.6646336494</c:v>
                </c:pt>
                <c:pt idx="14">
                  <c:v>552394.94538964983</c:v>
                </c:pt>
                <c:pt idx="15">
                  <c:v>550514.20471973857</c:v>
                </c:pt>
                <c:pt idx="16">
                  <c:v>548669.46554014692</c:v>
                </c:pt>
                <c:pt idx="17">
                  <c:v>546860.75032843882</c:v>
                </c:pt>
                <c:pt idx="18">
                  <c:v>545088.08112323983</c:v>
                </c:pt>
                <c:pt idx="19">
                  <c:v>543351.47952396329</c:v>
                </c:pt>
                <c:pt idx="20">
                  <c:v>541650.96669055196</c:v>
                </c:pt>
                <c:pt idx="21">
                  <c:v>539986.56334321946</c:v>
                </c:pt>
                <c:pt idx="22">
                  <c:v>538358.28976219287</c:v>
                </c:pt>
                <c:pt idx="23">
                  <c:v>536766.16578747425</c:v>
                </c:pt>
                <c:pt idx="24">
                  <c:v>535210.2108185906</c:v>
                </c:pt>
                <c:pt idx="25">
                  <c:v>533690.4438143624</c:v>
                </c:pt>
                <c:pt idx="26">
                  <c:v>532206.88329267083</c:v>
                </c:pt>
                <c:pt idx="27">
                  <c:v>530759.5473302328</c:v>
                </c:pt>
                <c:pt idx="28">
                  <c:v>529348.45356238028</c:v>
                </c:pt>
                <c:pt idx="29">
                  <c:v>527973.61918284558</c:v>
                </c:pt>
                <c:pt idx="30">
                  <c:v>526635.06094355183</c:v>
                </c:pt>
                <c:pt idx="31">
                  <c:v>525332.79515440855</c:v>
                </c:pt>
                <c:pt idx="32">
                  <c:v>524066.83768311329</c:v>
                </c:pt>
                <c:pt idx="33">
                  <c:v>522837.20395495882</c:v>
                </c:pt>
                <c:pt idx="34">
                  <c:v>521643.90895264316</c:v>
                </c:pt>
                <c:pt idx="35">
                  <c:v>520486.96721609076</c:v>
                </c:pt>
                <c:pt idx="36">
                  <c:v>519366.39284226997</c:v>
                </c:pt>
                <c:pt idx="37">
                  <c:v>518282.19948502723</c:v>
                </c:pt>
                <c:pt idx="38">
                  <c:v>517234.40035491576</c:v>
                </c:pt>
                <c:pt idx="39">
                  <c:v>516223.0082190372</c:v>
                </c:pt>
                <c:pt idx="40">
                  <c:v>515248.03540088609</c:v>
                </c:pt>
                <c:pt idx="41">
                  <c:v>514309.49378019758</c:v>
                </c:pt>
                <c:pt idx="42">
                  <c:v>513407.39479280682</c:v>
                </c:pt>
                <c:pt idx="43">
                  <c:v>512541.74943050323</c:v>
                </c:pt>
                <c:pt idx="44">
                  <c:v>511712.56824090378</c:v>
                </c:pt>
                <c:pt idx="45">
                  <c:v>510919.86132731941</c:v>
                </c:pt>
                <c:pt idx="46">
                  <c:v>510163.63834863296</c:v>
                </c:pt>
                <c:pt idx="47">
                  <c:v>509443.90851918375</c:v>
                </c:pt>
                <c:pt idx="48">
                  <c:v>508760.68060865207</c:v>
                </c:pt>
                <c:pt idx="49">
                  <c:v>508113.96294195484</c:v>
                </c:pt>
                <c:pt idx="50">
                  <c:v>507503.76339914184</c:v>
                </c:pt>
                <c:pt idx="51">
                  <c:v>506930.0894153025</c:v>
                </c:pt>
                <c:pt idx="52">
                  <c:v>506392.94798047328</c:v>
                </c:pt>
                <c:pt idx="53">
                  <c:v>505892.34563955292</c:v>
                </c:pt>
                <c:pt idx="54">
                  <c:v>505428.28849222371</c:v>
                </c:pt>
                <c:pt idx="55">
                  <c:v>505000.78219287423</c:v>
                </c:pt>
                <c:pt idx="56">
                  <c:v>504609.83195053507</c:v>
                </c:pt>
                <c:pt idx="57">
                  <c:v>504255.44252881035</c:v>
                </c:pt>
                <c:pt idx="58">
                  <c:v>503937.61824582424</c:v>
                </c:pt>
                <c:pt idx="59">
                  <c:v>503656.36297416501</c:v>
                </c:pt>
                <c:pt idx="60">
                  <c:v>503411.68014083942</c:v>
                </c:pt>
                <c:pt idx="61">
                  <c:v>503203.57272723084</c:v>
                </c:pt>
                <c:pt idx="62">
                  <c:v>503032.04326906195</c:v>
                </c:pt>
                <c:pt idx="63">
                  <c:v>502897.09385636542</c:v>
                </c:pt>
                <c:pt idx="64">
                  <c:v>502798.72613345692</c:v>
                </c:pt>
                <c:pt idx="65">
                  <c:v>502736.94129891647</c:v>
                </c:pt>
                <c:pt idx="66">
                  <c:v>502711.74010557262</c:v>
                </c:pt>
                <c:pt idx="67">
                  <c:v>502723.1228604936</c:v>
                </c:pt>
                <c:pt idx="68">
                  <c:v>502771.089424985</c:v>
                </c:pt>
                <c:pt idx="69">
                  <c:v>502855.63921458879</c:v>
                </c:pt>
                <c:pt idx="70">
                  <c:v>502976.77119909227</c:v>
                </c:pt>
                <c:pt idx="71">
                  <c:v>503134.48390254145</c:v>
                </c:pt>
                <c:pt idx="72">
                  <c:v>503328.77540325513</c:v>
                </c:pt>
                <c:pt idx="73">
                  <c:v>503559.64333385415</c:v>
                </c:pt>
                <c:pt idx="74">
                  <c:v>503827.08488128521</c:v>
                </c:pt>
                <c:pt idx="75">
                  <c:v>504131.09678685712</c:v>
                </c:pt>
                <c:pt idx="76">
                  <c:v>504471.67534628091</c:v>
                </c:pt>
                <c:pt idx="77">
                  <c:v>504848.81640971499</c:v>
                </c:pt>
                <c:pt idx="78">
                  <c:v>505262.51538181305</c:v>
                </c:pt>
                <c:pt idx="79">
                  <c:v>505712.76722178515</c:v>
                </c:pt>
                <c:pt idx="80">
                  <c:v>506199.56644345401</c:v>
                </c:pt>
                <c:pt idx="81">
                  <c:v>506722.9071153244</c:v>
                </c:pt>
                <c:pt idx="82">
                  <c:v>507282.78286065627</c:v>
                </c:pt>
                <c:pt idx="83">
                  <c:v>507879.18685753969</c:v>
                </c:pt>
                <c:pt idx="84">
                  <c:v>508512.11183898058</c:v>
                </c:pt>
                <c:pt idx="85">
                  <c:v>509181.55009298725</c:v>
                </c:pt>
                <c:pt idx="86">
                  <c:v>509887.4934626664</c:v>
                </c:pt>
                <c:pt idx="87">
                  <c:v>510629.93334632087</c:v>
                </c:pt>
                <c:pt idx="88">
                  <c:v>511408.86069755442</c:v>
                </c:pt>
                <c:pt idx="89">
                  <c:v>512224.26602538349</c:v>
                </c:pt>
                <c:pt idx="90">
                  <c:v>513076.13939435128</c:v>
                </c:pt>
                <c:pt idx="91">
                  <c:v>513964.47042464977</c:v>
                </c:pt>
                <c:pt idx="92">
                  <c:v>514889.2482922459</c:v>
                </c:pt>
                <c:pt idx="93">
                  <c:v>515850.4617290129</c:v>
                </c:pt>
                <c:pt idx="94">
                  <c:v>516848.09902286809</c:v>
                </c:pt>
                <c:pt idx="95">
                  <c:v>517882.14801791683</c:v>
                </c:pt>
                <c:pt idx="96">
                  <c:v>518952.59611459728</c:v>
                </c:pt>
                <c:pt idx="97">
                  <c:v>520059.43026983831</c:v>
                </c:pt>
                <c:pt idx="98">
                  <c:v>521202.63699721359</c:v>
                </c:pt>
                <c:pt idx="99">
                  <c:v>522382.20236711204</c:v>
                </c:pt>
                <c:pt idx="100">
                  <c:v>523598.1120068999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6C-479C-8690-E6B6BC840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724271"/>
        <c:axId val="1898780527"/>
      </c:scatterChart>
      <c:valAx>
        <c:axId val="211572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898780527"/>
        <c:crosses val="autoZero"/>
        <c:crossBetween val="midCat"/>
      </c:valAx>
      <c:valAx>
        <c:axId val="18987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11572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Cosine</a:t>
            </a:r>
            <a:r>
              <a:rPr lang="en-US" baseline="0"/>
              <a:t> Fit for Fast Axis Alignment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Intensity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Sheet1!$BD$8:$BD$108</c:f>
              <c:numCache>
                <c:formatCode>General</c:formatCode>
                <c:ptCount val="101"/>
                <c:pt idx="0">
                  <c:v>81</c:v>
                </c:pt>
                <c:pt idx="1">
                  <c:v>81.010000000000005</c:v>
                </c:pt>
                <c:pt idx="2">
                  <c:v>81.02</c:v>
                </c:pt>
                <c:pt idx="3">
                  <c:v>81.03</c:v>
                </c:pt>
                <c:pt idx="4">
                  <c:v>81.040000000000006</c:v>
                </c:pt>
                <c:pt idx="5">
                  <c:v>81.05</c:v>
                </c:pt>
                <c:pt idx="6">
                  <c:v>81.06</c:v>
                </c:pt>
                <c:pt idx="7">
                  <c:v>81.069999999999993</c:v>
                </c:pt>
                <c:pt idx="8">
                  <c:v>81.08</c:v>
                </c:pt>
                <c:pt idx="9">
                  <c:v>81.09</c:v>
                </c:pt>
                <c:pt idx="10">
                  <c:v>81.099999999999994</c:v>
                </c:pt>
                <c:pt idx="11">
                  <c:v>81.11</c:v>
                </c:pt>
                <c:pt idx="12">
                  <c:v>81.12</c:v>
                </c:pt>
                <c:pt idx="13">
                  <c:v>81.13</c:v>
                </c:pt>
                <c:pt idx="14">
                  <c:v>81.14</c:v>
                </c:pt>
                <c:pt idx="15">
                  <c:v>81.150000000000006</c:v>
                </c:pt>
                <c:pt idx="16">
                  <c:v>81.16</c:v>
                </c:pt>
                <c:pt idx="17">
                  <c:v>81.17</c:v>
                </c:pt>
                <c:pt idx="18">
                  <c:v>81.180000000000007</c:v>
                </c:pt>
                <c:pt idx="19">
                  <c:v>81.19</c:v>
                </c:pt>
                <c:pt idx="20">
                  <c:v>81.2</c:v>
                </c:pt>
                <c:pt idx="21">
                  <c:v>81.209999999999994</c:v>
                </c:pt>
                <c:pt idx="22">
                  <c:v>81.22</c:v>
                </c:pt>
                <c:pt idx="23">
                  <c:v>81.23</c:v>
                </c:pt>
                <c:pt idx="24">
                  <c:v>81.239999999999995</c:v>
                </c:pt>
                <c:pt idx="25">
                  <c:v>81.25</c:v>
                </c:pt>
                <c:pt idx="26">
                  <c:v>81.260000000000005</c:v>
                </c:pt>
                <c:pt idx="27">
                  <c:v>81.27</c:v>
                </c:pt>
                <c:pt idx="28">
                  <c:v>81.28</c:v>
                </c:pt>
                <c:pt idx="29">
                  <c:v>81.290000000000006</c:v>
                </c:pt>
                <c:pt idx="30">
                  <c:v>81.3</c:v>
                </c:pt>
                <c:pt idx="31">
                  <c:v>81.31</c:v>
                </c:pt>
                <c:pt idx="32">
                  <c:v>81.319999999999993</c:v>
                </c:pt>
                <c:pt idx="33">
                  <c:v>81.33</c:v>
                </c:pt>
                <c:pt idx="34">
                  <c:v>81.34</c:v>
                </c:pt>
                <c:pt idx="35">
                  <c:v>81.349999999999994</c:v>
                </c:pt>
                <c:pt idx="36">
                  <c:v>81.36</c:v>
                </c:pt>
                <c:pt idx="37">
                  <c:v>81.37</c:v>
                </c:pt>
                <c:pt idx="38">
                  <c:v>81.38</c:v>
                </c:pt>
                <c:pt idx="39">
                  <c:v>81.39</c:v>
                </c:pt>
                <c:pt idx="40">
                  <c:v>81.400000000000006</c:v>
                </c:pt>
                <c:pt idx="41">
                  <c:v>81.41</c:v>
                </c:pt>
                <c:pt idx="42">
                  <c:v>81.42</c:v>
                </c:pt>
                <c:pt idx="43">
                  <c:v>81.430000000000007</c:v>
                </c:pt>
                <c:pt idx="44">
                  <c:v>81.44</c:v>
                </c:pt>
                <c:pt idx="45">
                  <c:v>81.45</c:v>
                </c:pt>
                <c:pt idx="46">
                  <c:v>81.459999999999994</c:v>
                </c:pt>
                <c:pt idx="47">
                  <c:v>81.47</c:v>
                </c:pt>
                <c:pt idx="48">
                  <c:v>81.48</c:v>
                </c:pt>
                <c:pt idx="49">
                  <c:v>81.489999999999995</c:v>
                </c:pt>
                <c:pt idx="50">
                  <c:v>81.5</c:v>
                </c:pt>
                <c:pt idx="51">
                  <c:v>81.510000000000005</c:v>
                </c:pt>
                <c:pt idx="52">
                  <c:v>81.52</c:v>
                </c:pt>
                <c:pt idx="53">
                  <c:v>81.53</c:v>
                </c:pt>
                <c:pt idx="54">
                  <c:v>81.540000000000006</c:v>
                </c:pt>
                <c:pt idx="55">
                  <c:v>81.55</c:v>
                </c:pt>
                <c:pt idx="56">
                  <c:v>81.56</c:v>
                </c:pt>
                <c:pt idx="57">
                  <c:v>81.569999999999993</c:v>
                </c:pt>
                <c:pt idx="58">
                  <c:v>81.58</c:v>
                </c:pt>
                <c:pt idx="59">
                  <c:v>81.59</c:v>
                </c:pt>
                <c:pt idx="60">
                  <c:v>81.599999999999994</c:v>
                </c:pt>
                <c:pt idx="61">
                  <c:v>81.61</c:v>
                </c:pt>
                <c:pt idx="62">
                  <c:v>81.62</c:v>
                </c:pt>
                <c:pt idx="63">
                  <c:v>81.63</c:v>
                </c:pt>
                <c:pt idx="64">
                  <c:v>81.64</c:v>
                </c:pt>
                <c:pt idx="65">
                  <c:v>81.650000000000006</c:v>
                </c:pt>
                <c:pt idx="66">
                  <c:v>81.66</c:v>
                </c:pt>
                <c:pt idx="67">
                  <c:v>81.67</c:v>
                </c:pt>
                <c:pt idx="68">
                  <c:v>81.680000000000007</c:v>
                </c:pt>
                <c:pt idx="69">
                  <c:v>81.69</c:v>
                </c:pt>
                <c:pt idx="70">
                  <c:v>81.7</c:v>
                </c:pt>
                <c:pt idx="71">
                  <c:v>81.709999999999994</c:v>
                </c:pt>
                <c:pt idx="72">
                  <c:v>81.72</c:v>
                </c:pt>
                <c:pt idx="73">
                  <c:v>81.73</c:v>
                </c:pt>
                <c:pt idx="74">
                  <c:v>81.739999999999995</c:v>
                </c:pt>
                <c:pt idx="75">
                  <c:v>81.75</c:v>
                </c:pt>
                <c:pt idx="76">
                  <c:v>81.760000000000005</c:v>
                </c:pt>
                <c:pt idx="77">
                  <c:v>81.77</c:v>
                </c:pt>
                <c:pt idx="78">
                  <c:v>81.78</c:v>
                </c:pt>
                <c:pt idx="79">
                  <c:v>81.790000000000006</c:v>
                </c:pt>
                <c:pt idx="80">
                  <c:v>81.8</c:v>
                </c:pt>
                <c:pt idx="81">
                  <c:v>81.81</c:v>
                </c:pt>
                <c:pt idx="82">
                  <c:v>81.819999999999993</c:v>
                </c:pt>
                <c:pt idx="83">
                  <c:v>81.83</c:v>
                </c:pt>
                <c:pt idx="84">
                  <c:v>81.84</c:v>
                </c:pt>
                <c:pt idx="85">
                  <c:v>81.849999999999994</c:v>
                </c:pt>
                <c:pt idx="86">
                  <c:v>81.86</c:v>
                </c:pt>
                <c:pt idx="87">
                  <c:v>81.87</c:v>
                </c:pt>
                <c:pt idx="88">
                  <c:v>81.88</c:v>
                </c:pt>
                <c:pt idx="89">
                  <c:v>81.89</c:v>
                </c:pt>
                <c:pt idx="90">
                  <c:v>81.900000000000006</c:v>
                </c:pt>
                <c:pt idx="91">
                  <c:v>81.91</c:v>
                </c:pt>
                <c:pt idx="92">
                  <c:v>81.92</c:v>
                </c:pt>
                <c:pt idx="93">
                  <c:v>81.93</c:v>
                </c:pt>
                <c:pt idx="94">
                  <c:v>81.94</c:v>
                </c:pt>
                <c:pt idx="95">
                  <c:v>81.95</c:v>
                </c:pt>
                <c:pt idx="96">
                  <c:v>81.96</c:v>
                </c:pt>
                <c:pt idx="97">
                  <c:v>81.97</c:v>
                </c:pt>
                <c:pt idx="98">
                  <c:v>81.98</c:v>
                </c:pt>
                <c:pt idx="99">
                  <c:v>81.99</c:v>
                </c:pt>
                <c:pt idx="100">
                  <c:v>82</c:v>
                </c:pt>
              </c:numCache>
            </c:numRef>
          </c:xVal>
          <c:yVal>
            <c:numRef>
              <c:f>Sheet1!$BE$8:$BE$108</c:f>
              <c:numCache>
                <c:formatCode>General</c:formatCode>
                <c:ptCount val="101"/>
                <c:pt idx="0">
                  <c:v>462471.96673537599</c:v>
                </c:pt>
                <c:pt idx="1">
                  <c:v>461668.12623168802</c:v>
                </c:pt>
                <c:pt idx="2">
                  <c:v>461062.96831800701</c:v>
                </c:pt>
                <c:pt idx="3">
                  <c:v>460907.27891910699</c:v>
                </c:pt>
                <c:pt idx="4">
                  <c:v>461159.40367614798</c:v>
                </c:pt>
                <c:pt idx="5">
                  <c:v>461078.42234164599</c:v>
                </c:pt>
                <c:pt idx="6">
                  <c:v>461151.16509849898</c:v>
                </c:pt>
                <c:pt idx="7">
                  <c:v>460790.24306953</c:v>
                </c:pt>
                <c:pt idx="8">
                  <c:v>460819.04597855301</c:v>
                </c:pt>
                <c:pt idx="9">
                  <c:v>460750.85309124598</c:v>
                </c:pt>
                <c:pt idx="10">
                  <c:v>460819.87913480098</c:v>
                </c:pt>
                <c:pt idx="11">
                  <c:v>460691.98266054603</c:v>
                </c:pt>
                <c:pt idx="12">
                  <c:v>460602.43434749398</c:v>
                </c:pt>
                <c:pt idx="13">
                  <c:v>460587.81612160901</c:v>
                </c:pt>
                <c:pt idx="14">
                  <c:v>460400.79959304602</c:v>
                </c:pt>
                <c:pt idx="15">
                  <c:v>460514.87168406701</c:v>
                </c:pt>
                <c:pt idx="16">
                  <c:v>460366.63568028802</c:v>
                </c:pt>
                <c:pt idx="17">
                  <c:v>460594.89757513098</c:v>
                </c:pt>
                <c:pt idx="18">
                  <c:v>460481.56810171902</c:v>
                </c:pt>
                <c:pt idx="19">
                  <c:v>460573.83513950399</c:v>
                </c:pt>
                <c:pt idx="20">
                  <c:v>460450.49410866498</c:v>
                </c:pt>
                <c:pt idx="21">
                  <c:v>460156.506078529</c:v>
                </c:pt>
                <c:pt idx="22">
                  <c:v>460274.63073388999</c:v>
                </c:pt>
                <c:pt idx="23">
                  <c:v>460394.215664552</c:v>
                </c:pt>
                <c:pt idx="24">
                  <c:v>460264.003855496</c:v>
                </c:pt>
                <c:pt idx="25">
                  <c:v>460168.26074424799</c:v>
                </c:pt>
                <c:pt idx="26">
                  <c:v>460331.781992034</c:v>
                </c:pt>
                <c:pt idx="27">
                  <c:v>460438.97704988398</c:v>
                </c:pt>
                <c:pt idx="28">
                  <c:v>460510.17218731699</c:v>
                </c:pt>
                <c:pt idx="29">
                  <c:v>460151.18379756098</c:v>
                </c:pt>
                <c:pt idx="30">
                  <c:v>460299.03552249097</c:v>
                </c:pt>
                <c:pt idx="31">
                  <c:v>460163.14400483703</c:v>
                </c:pt>
                <c:pt idx="32">
                  <c:v>460287.19356230501</c:v>
                </c:pt>
                <c:pt idx="33">
                  <c:v>460052.163220649</c:v>
                </c:pt>
                <c:pt idx="34">
                  <c:v>460121.016726606</c:v>
                </c:pt>
                <c:pt idx="35">
                  <c:v>460108.84571678902</c:v>
                </c:pt>
                <c:pt idx="36">
                  <c:v>460214.57090204902</c:v>
                </c:pt>
                <c:pt idx="37">
                  <c:v>460240.82054230198</c:v>
                </c:pt>
                <c:pt idx="38">
                  <c:v>459993.597738766</c:v>
                </c:pt>
                <c:pt idx="39">
                  <c:v>460083.42974931101</c:v>
                </c:pt>
                <c:pt idx="40">
                  <c:v>459894.37987412699</c:v>
                </c:pt>
                <c:pt idx="41">
                  <c:v>460269.43197153398</c:v>
                </c:pt>
                <c:pt idx="42">
                  <c:v>460184.67371051398</c:v>
                </c:pt>
                <c:pt idx="43">
                  <c:v>460061.18268692697</c:v>
                </c:pt>
                <c:pt idx="44">
                  <c:v>460195.25966043002</c:v>
                </c:pt>
                <c:pt idx="45">
                  <c:v>460171.023767484</c:v>
                </c:pt>
                <c:pt idx="46">
                  <c:v>460068.61197828798</c:v>
                </c:pt>
                <c:pt idx="47">
                  <c:v>460206.40869953402</c:v>
                </c:pt>
                <c:pt idx="48">
                  <c:v>460300.99062628101</c:v>
                </c:pt>
                <c:pt idx="49">
                  <c:v>460082.68620852701</c:v>
                </c:pt>
                <c:pt idx="50">
                  <c:v>460184.60645688302</c:v>
                </c:pt>
                <c:pt idx="51">
                  <c:v>460248.53896886401</c:v>
                </c:pt>
                <c:pt idx="52">
                  <c:v>460390.10397621698</c:v>
                </c:pt>
                <c:pt idx="53">
                  <c:v>460212.66587948299</c:v>
                </c:pt>
                <c:pt idx="54">
                  <c:v>460150.953625308</c:v>
                </c:pt>
                <c:pt idx="55">
                  <c:v>460376.411038324</c:v>
                </c:pt>
                <c:pt idx="56">
                  <c:v>460060.73766385397</c:v>
                </c:pt>
                <c:pt idx="57">
                  <c:v>460274.01021020499</c:v>
                </c:pt>
                <c:pt idx="58">
                  <c:v>460090.29993746203</c:v>
                </c:pt>
                <c:pt idx="59">
                  <c:v>460129.41170954698</c:v>
                </c:pt>
                <c:pt idx="60">
                  <c:v>460341.56372221798</c:v>
                </c:pt>
                <c:pt idx="61">
                  <c:v>460234.98982919601</c:v>
                </c:pt>
                <c:pt idx="62">
                  <c:v>460439.81453184597</c:v>
                </c:pt>
                <c:pt idx="63">
                  <c:v>460259.57816621201</c:v>
                </c:pt>
                <c:pt idx="64">
                  <c:v>460372.90284832998</c:v>
                </c:pt>
                <c:pt idx="65">
                  <c:v>460332.62265355</c:v>
                </c:pt>
                <c:pt idx="66">
                  <c:v>460252.74575704901</c:v>
                </c:pt>
                <c:pt idx="67">
                  <c:v>460415.11164570798</c:v>
                </c:pt>
                <c:pt idx="68">
                  <c:v>460348.51730376901</c:v>
                </c:pt>
                <c:pt idx="69">
                  <c:v>460456.72968699998</c:v>
                </c:pt>
                <c:pt idx="70">
                  <c:v>460198.53681599197</c:v>
                </c:pt>
                <c:pt idx="71">
                  <c:v>460387.76634979597</c:v>
                </c:pt>
                <c:pt idx="72">
                  <c:v>460461.28172255901</c:v>
                </c:pt>
                <c:pt idx="73">
                  <c:v>460250.35942711402</c:v>
                </c:pt>
                <c:pt idx="74">
                  <c:v>460428.34184739902</c:v>
                </c:pt>
                <c:pt idx="75">
                  <c:v>460371.259575581</c:v>
                </c:pt>
                <c:pt idx="76">
                  <c:v>460406.68177893898</c:v>
                </c:pt>
                <c:pt idx="77">
                  <c:v>460470.98280876997</c:v>
                </c:pt>
                <c:pt idx="78">
                  <c:v>460112.856619358</c:v>
                </c:pt>
                <c:pt idx="79">
                  <c:v>460361.62642822502</c:v>
                </c:pt>
                <c:pt idx="80">
                  <c:v>460410.66321683599</c:v>
                </c:pt>
                <c:pt idx="81">
                  <c:v>460525.85209797998</c:v>
                </c:pt>
                <c:pt idx="82">
                  <c:v>460414.80335430597</c:v>
                </c:pt>
                <c:pt idx="83">
                  <c:v>460396.578539307</c:v>
                </c:pt>
                <c:pt idx="84">
                  <c:v>460349.145131681</c:v>
                </c:pt>
                <c:pt idx="85">
                  <c:v>460530.10154460202</c:v>
                </c:pt>
                <c:pt idx="86">
                  <c:v>460494.92152690602</c:v>
                </c:pt>
                <c:pt idx="87">
                  <c:v>460725.91027662897</c:v>
                </c:pt>
                <c:pt idx="88">
                  <c:v>460487.08311174699</c:v>
                </c:pt>
                <c:pt idx="89">
                  <c:v>460569.22629494499</c:v>
                </c:pt>
                <c:pt idx="90">
                  <c:v>460534.18951418798</c:v>
                </c:pt>
                <c:pt idx="91">
                  <c:v>460684.04774532298</c:v>
                </c:pt>
                <c:pt idx="92">
                  <c:v>460556.16847426898</c:v>
                </c:pt>
                <c:pt idx="93">
                  <c:v>460474.288274116</c:v>
                </c:pt>
                <c:pt idx="94">
                  <c:v>460418.140116936</c:v>
                </c:pt>
                <c:pt idx="95">
                  <c:v>460704.72223913402</c:v>
                </c:pt>
                <c:pt idx="96">
                  <c:v>460492.29139778001</c:v>
                </c:pt>
                <c:pt idx="97">
                  <c:v>460698.94894138398</c:v>
                </c:pt>
                <c:pt idx="98">
                  <c:v>460554.37447840802</c:v>
                </c:pt>
                <c:pt idx="99">
                  <c:v>460544.35725497402</c:v>
                </c:pt>
                <c:pt idx="100">
                  <c:v>460481.33914447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CA-465F-9A9E-8383B09881CB}"/>
            </c:ext>
          </c:extLst>
        </c:ser>
        <c:ser>
          <c:idx val="1"/>
          <c:order val="1"/>
          <c:tx>
            <c:v>Fit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Sheet1!$BD$8:$BD$108</c:f>
              <c:numCache>
                <c:formatCode>General</c:formatCode>
                <c:ptCount val="101"/>
                <c:pt idx="0">
                  <c:v>81</c:v>
                </c:pt>
                <c:pt idx="1">
                  <c:v>81.010000000000005</c:v>
                </c:pt>
                <c:pt idx="2">
                  <c:v>81.02</c:v>
                </c:pt>
                <c:pt idx="3">
                  <c:v>81.03</c:v>
                </c:pt>
                <c:pt idx="4">
                  <c:v>81.040000000000006</c:v>
                </c:pt>
                <c:pt idx="5">
                  <c:v>81.05</c:v>
                </c:pt>
                <c:pt idx="6">
                  <c:v>81.06</c:v>
                </c:pt>
                <c:pt idx="7">
                  <c:v>81.069999999999993</c:v>
                </c:pt>
                <c:pt idx="8">
                  <c:v>81.08</c:v>
                </c:pt>
                <c:pt idx="9">
                  <c:v>81.09</c:v>
                </c:pt>
                <c:pt idx="10">
                  <c:v>81.099999999999994</c:v>
                </c:pt>
                <c:pt idx="11">
                  <c:v>81.11</c:v>
                </c:pt>
                <c:pt idx="12">
                  <c:v>81.12</c:v>
                </c:pt>
                <c:pt idx="13">
                  <c:v>81.13</c:v>
                </c:pt>
                <c:pt idx="14">
                  <c:v>81.14</c:v>
                </c:pt>
                <c:pt idx="15">
                  <c:v>81.150000000000006</c:v>
                </c:pt>
                <c:pt idx="16">
                  <c:v>81.16</c:v>
                </c:pt>
                <c:pt idx="17">
                  <c:v>81.17</c:v>
                </c:pt>
                <c:pt idx="18">
                  <c:v>81.180000000000007</c:v>
                </c:pt>
                <c:pt idx="19">
                  <c:v>81.19</c:v>
                </c:pt>
                <c:pt idx="20">
                  <c:v>81.2</c:v>
                </c:pt>
                <c:pt idx="21">
                  <c:v>81.209999999999994</c:v>
                </c:pt>
                <c:pt idx="22">
                  <c:v>81.22</c:v>
                </c:pt>
                <c:pt idx="23">
                  <c:v>81.23</c:v>
                </c:pt>
                <c:pt idx="24">
                  <c:v>81.239999999999995</c:v>
                </c:pt>
                <c:pt idx="25">
                  <c:v>81.25</c:v>
                </c:pt>
                <c:pt idx="26">
                  <c:v>81.260000000000005</c:v>
                </c:pt>
                <c:pt idx="27">
                  <c:v>81.27</c:v>
                </c:pt>
                <c:pt idx="28">
                  <c:v>81.28</c:v>
                </c:pt>
                <c:pt idx="29">
                  <c:v>81.290000000000006</c:v>
                </c:pt>
                <c:pt idx="30">
                  <c:v>81.3</c:v>
                </c:pt>
                <c:pt idx="31">
                  <c:v>81.31</c:v>
                </c:pt>
                <c:pt idx="32">
                  <c:v>81.319999999999993</c:v>
                </c:pt>
                <c:pt idx="33">
                  <c:v>81.33</c:v>
                </c:pt>
                <c:pt idx="34">
                  <c:v>81.34</c:v>
                </c:pt>
                <c:pt idx="35">
                  <c:v>81.349999999999994</c:v>
                </c:pt>
                <c:pt idx="36">
                  <c:v>81.36</c:v>
                </c:pt>
                <c:pt idx="37">
                  <c:v>81.37</c:v>
                </c:pt>
                <c:pt idx="38">
                  <c:v>81.38</c:v>
                </c:pt>
                <c:pt idx="39">
                  <c:v>81.39</c:v>
                </c:pt>
                <c:pt idx="40">
                  <c:v>81.400000000000006</c:v>
                </c:pt>
                <c:pt idx="41">
                  <c:v>81.41</c:v>
                </c:pt>
                <c:pt idx="42">
                  <c:v>81.42</c:v>
                </c:pt>
                <c:pt idx="43">
                  <c:v>81.430000000000007</c:v>
                </c:pt>
                <c:pt idx="44">
                  <c:v>81.44</c:v>
                </c:pt>
                <c:pt idx="45">
                  <c:v>81.45</c:v>
                </c:pt>
                <c:pt idx="46">
                  <c:v>81.459999999999994</c:v>
                </c:pt>
                <c:pt idx="47">
                  <c:v>81.47</c:v>
                </c:pt>
                <c:pt idx="48">
                  <c:v>81.48</c:v>
                </c:pt>
                <c:pt idx="49">
                  <c:v>81.489999999999995</c:v>
                </c:pt>
                <c:pt idx="50">
                  <c:v>81.5</c:v>
                </c:pt>
                <c:pt idx="51">
                  <c:v>81.510000000000005</c:v>
                </c:pt>
                <c:pt idx="52">
                  <c:v>81.52</c:v>
                </c:pt>
                <c:pt idx="53">
                  <c:v>81.53</c:v>
                </c:pt>
                <c:pt idx="54">
                  <c:v>81.540000000000006</c:v>
                </c:pt>
                <c:pt idx="55">
                  <c:v>81.55</c:v>
                </c:pt>
                <c:pt idx="56">
                  <c:v>81.56</c:v>
                </c:pt>
                <c:pt idx="57">
                  <c:v>81.569999999999993</c:v>
                </c:pt>
                <c:pt idx="58">
                  <c:v>81.58</c:v>
                </c:pt>
                <c:pt idx="59">
                  <c:v>81.59</c:v>
                </c:pt>
                <c:pt idx="60">
                  <c:v>81.599999999999994</c:v>
                </c:pt>
                <c:pt idx="61">
                  <c:v>81.61</c:v>
                </c:pt>
                <c:pt idx="62">
                  <c:v>81.62</c:v>
                </c:pt>
                <c:pt idx="63">
                  <c:v>81.63</c:v>
                </c:pt>
                <c:pt idx="64">
                  <c:v>81.64</c:v>
                </c:pt>
                <c:pt idx="65">
                  <c:v>81.650000000000006</c:v>
                </c:pt>
                <c:pt idx="66">
                  <c:v>81.66</c:v>
                </c:pt>
                <c:pt idx="67">
                  <c:v>81.67</c:v>
                </c:pt>
                <c:pt idx="68">
                  <c:v>81.680000000000007</c:v>
                </c:pt>
                <c:pt idx="69">
                  <c:v>81.69</c:v>
                </c:pt>
                <c:pt idx="70">
                  <c:v>81.7</c:v>
                </c:pt>
                <c:pt idx="71">
                  <c:v>81.709999999999994</c:v>
                </c:pt>
                <c:pt idx="72">
                  <c:v>81.72</c:v>
                </c:pt>
                <c:pt idx="73">
                  <c:v>81.73</c:v>
                </c:pt>
                <c:pt idx="74">
                  <c:v>81.739999999999995</c:v>
                </c:pt>
                <c:pt idx="75">
                  <c:v>81.75</c:v>
                </c:pt>
                <c:pt idx="76">
                  <c:v>81.760000000000005</c:v>
                </c:pt>
                <c:pt idx="77">
                  <c:v>81.77</c:v>
                </c:pt>
                <c:pt idx="78">
                  <c:v>81.78</c:v>
                </c:pt>
                <c:pt idx="79">
                  <c:v>81.790000000000006</c:v>
                </c:pt>
                <c:pt idx="80">
                  <c:v>81.8</c:v>
                </c:pt>
                <c:pt idx="81">
                  <c:v>81.81</c:v>
                </c:pt>
                <c:pt idx="82">
                  <c:v>81.819999999999993</c:v>
                </c:pt>
                <c:pt idx="83">
                  <c:v>81.83</c:v>
                </c:pt>
                <c:pt idx="84">
                  <c:v>81.84</c:v>
                </c:pt>
                <c:pt idx="85">
                  <c:v>81.849999999999994</c:v>
                </c:pt>
                <c:pt idx="86">
                  <c:v>81.86</c:v>
                </c:pt>
                <c:pt idx="87">
                  <c:v>81.87</c:v>
                </c:pt>
                <c:pt idx="88">
                  <c:v>81.88</c:v>
                </c:pt>
                <c:pt idx="89">
                  <c:v>81.89</c:v>
                </c:pt>
                <c:pt idx="90">
                  <c:v>81.900000000000006</c:v>
                </c:pt>
                <c:pt idx="91">
                  <c:v>81.91</c:v>
                </c:pt>
                <c:pt idx="92">
                  <c:v>81.92</c:v>
                </c:pt>
                <c:pt idx="93">
                  <c:v>81.93</c:v>
                </c:pt>
                <c:pt idx="94">
                  <c:v>81.94</c:v>
                </c:pt>
                <c:pt idx="95">
                  <c:v>81.95</c:v>
                </c:pt>
                <c:pt idx="96">
                  <c:v>81.96</c:v>
                </c:pt>
                <c:pt idx="97">
                  <c:v>81.97</c:v>
                </c:pt>
                <c:pt idx="98">
                  <c:v>81.98</c:v>
                </c:pt>
                <c:pt idx="99">
                  <c:v>81.99</c:v>
                </c:pt>
                <c:pt idx="100">
                  <c:v>82</c:v>
                </c:pt>
              </c:numCache>
            </c:numRef>
          </c:xVal>
          <c:yVal>
            <c:numRef>
              <c:f>Sheet1!$BF$8:$BF$108</c:f>
              <c:numCache>
                <c:formatCode>General</c:formatCode>
                <c:ptCount val="101"/>
                <c:pt idx="0">
                  <c:v>460981.36652285419</c:v>
                </c:pt>
                <c:pt idx="1">
                  <c:v>460951.62604464311</c:v>
                </c:pt>
                <c:pt idx="2">
                  <c:v>460922.4462686684</c:v>
                </c:pt>
                <c:pt idx="3">
                  <c:v>460893.82719848678</c:v>
                </c:pt>
                <c:pt idx="4">
                  <c:v>460865.76883758605</c:v>
                </c:pt>
                <c:pt idx="5">
                  <c:v>460838.2711893823</c:v>
                </c:pt>
                <c:pt idx="6">
                  <c:v>460811.33425722923</c:v>
                </c:pt>
                <c:pt idx="7">
                  <c:v>460784.95804440603</c:v>
                </c:pt>
                <c:pt idx="8">
                  <c:v>460759.14255412854</c:v>
                </c:pt>
                <c:pt idx="9">
                  <c:v>460733.88778954186</c:v>
                </c:pt>
                <c:pt idx="10">
                  <c:v>460709.19375372212</c:v>
                </c:pt>
                <c:pt idx="11">
                  <c:v>460685.06044968031</c:v>
                </c:pt>
                <c:pt idx="12">
                  <c:v>460661.48788035475</c:v>
                </c:pt>
                <c:pt idx="13">
                  <c:v>460638.47604862042</c:v>
                </c:pt>
                <c:pt idx="14">
                  <c:v>460616.02495727781</c:v>
                </c:pt>
                <c:pt idx="15">
                  <c:v>460594.13460906502</c:v>
                </c:pt>
                <c:pt idx="16">
                  <c:v>460572.80500664935</c:v>
                </c:pt>
                <c:pt idx="17">
                  <c:v>460552.03615262732</c:v>
                </c:pt>
                <c:pt idx="18">
                  <c:v>460531.82804953214</c:v>
                </c:pt>
                <c:pt idx="19">
                  <c:v>460512.18069982622</c:v>
                </c:pt>
                <c:pt idx="20">
                  <c:v>460493.0941059012</c:v>
                </c:pt>
                <c:pt idx="21">
                  <c:v>460474.56827008445</c:v>
                </c:pt>
                <c:pt idx="22">
                  <c:v>460456.60319463257</c:v>
                </c:pt>
                <c:pt idx="23">
                  <c:v>460439.19888173509</c:v>
                </c:pt>
                <c:pt idx="24">
                  <c:v>460422.35533351265</c:v>
                </c:pt>
                <c:pt idx="25">
                  <c:v>460406.07255201694</c:v>
                </c:pt>
                <c:pt idx="26">
                  <c:v>460390.3505392326</c:v>
                </c:pt>
                <c:pt idx="27">
                  <c:v>460375.18929707538</c:v>
                </c:pt>
                <c:pt idx="28">
                  <c:v>460360.58882739209</c:v>
                </c:pt>
                <c:pt idx="29">
                  <c:v>460346.54913196154</c:v>
                </c:pt>
                <c:pt idx="30">
                  <c:v>460333.07021249551</c:v>
                </c:pt>
                <c:pt idx="31">
                  <c:v>460320.15207063593</c:v>
                </c:pt>
                <c:pt idx="32">
                  <c:v>460307.79470795579</c:v>
                </c:pt>
                <c:pt idx="33">
                  <c:v>460295.99812596198</c:v>
                </c:pt>
                <c:pt idx="34">
                  <c:v>460284.76232609246</c:v>
                </c:pt>
                <c:pt idx="35">
                  <c:v>460274.08730971441</c:v>
                </c:pt>
                <c:pt idx="36">
                  <c:v>460263.97307812981</c:v>
                </c:pt>
                <c:pt idx="37">
                  <c:v>460254.41963257082</c:v>
                </c:pt>
                <c:pt idx="38">
                  <c:v>460245.42697420157</c:v>
                </c:pt>
                <c:pt idx="39">
                  <c:v>460236.99510411732</c:v>
                </c:pt>
                <c:pt idx="40">
                  <c:v>460229.12402334623</c:v>
                </c:pt>
                <c:pt idx="41">
                  <c:v>460221.81373284664</c:v>
                </c:pt>
                <c:pt idx="42">
                  <c:v>460215.06423350982</c:v>
                </c:pt>
                <c:pt idx="43">
                  <c:v>460208.87552615814</c:v>
                </c:pt>
                <c:pt idx="44">
                  <c:v>460203.24761154503</c:v>
                </c:pt>
                <c:pt idx="45">
                  <c:v>460198.18049035687</c:v>
                </c:pt>
                <c:pt idx="46">
                  <c:v>460193.67416321114</c:v>
                </c:pt>
                <c:pt idx="47">
                  <c:v>460189.72863065638</c:v>
                </c:pt>
                <c:pt idx="48">
                  <c:v>460186.34389317315</c:v>
                </c:pt>
                <c:pt idx="49">
                  <c:v>460183.51995117497</c:v>
                </c:pt>
                <c:pt idx="50">
                  <c:v>460181.25680500548</c:v>
                </c:pt>
                <c:pt idx="51">
                  <c:v>460179.55445494037</c:v>
                </c:pt>
                <c:pt idx="52">
                  <c:v>460178.41290118638</c:v>
                </c:pt>
                <c:pt idx="53">
                  <c:v>460177.83214388322</c:v>
                </c:pt>
                <c:pt idx="54">
                  <c:v>460177.81218310166</c:v>
                </c:pt>
                <c:pt idx="55">
                  <c:v>460178.3530188445</c:v>
                </c:pt>
                <c:pt idx="56">
                  <c:v>460179.45465104468</c:v>
                </c:pt>
                <c:pt idx="57">
                  <c:v>460181.11707956996</c:v>
                </c:pt>
                <c:pt idx="58">
                  <c:v>460183.34030421544</c:v>
                </c:pt>
                <c:pt idx="59">
                  <c:v>460186.12432471197</c:v>
                </c:pt>
                <c:pt idx="60">
                  <c:v>460189.46914071962</c:v>
                </c:pt>
                <c:pt idx="61">
                  <c:v>460193.37475183047</c:v>
                </c:pt>
                <c:pt idx="62">
                  <c:v>460197.84115756955</c:v>
                </c:pt>
                <c:pt idx="63">
                  <c:v>460202.86835739203</c:v>
                </c:pt>
                <c:pt idx="64">
                  <c:v>460208.4563506851</c:v>
                </c:pt>
                <c:pt idx="65">
                  <c:v>460214.60513676889</c:v>
                </c:pt>
                <c:pt idx="66">
                  <c:v>460221.3147148937</c:v>
                </c:pt>
                <c:pt idx="67">
                  <c:v>460228.58508424088</c:v>
                </c:pt>
                <c:pt idx="68">
                  <c:v>460236.41624392569</c:v>
                </c:pt>
                <c:pt idx="69">
                  <c:v>460244.80819299445</c:v>
                </c:pt>
                <c:pt idx="70">
                  <c:v>460253.76093042362</c:v>
                </c:pt>
                <c:pt idx="71">
                  <c:v>460263.27445512265</c:v>
                </c:pt>
                <c:pt idx="72">
                  <c:v>460273.34876593295</c:v>
                </c:pt>
                <c:pt idx="73">
                  <c:v>460283.98386162519</c:v>
                </c:pt>
                <c:pt idx="74">
                  <c:v>460295.17974090576</c:v>
                </c:pt>
                <c:pt idx="75">
                  <c:v>460306.93640240934</c:v>
                </c:pt>
                <c:pt idx="76">
                  <c:v>460319.25384470355</c:v>
                </c:pt>
                <c:pt idx="77">
                  <c:v>460332.1320662871</c:v>
                </c:pt>
                <c:pt idx="78">
                  <c:v>460345.57106559072</c:v>
                </c:pt>
                <c:pt idx="79">
                  <c:v>460359.57084097899</c:v>
                </c:pt>
                <c:pt idx="80">
                  <c:v>460374.13139074389</c:v>
                </c:pt>
                <c:pt idx="81">
                  <c:v>460389.25271311123</c:v>
                </c:pt>
                <c:pt idx="82">
                  <c:v>460404.93480623979</c:v>
                </c:pt>
                <c:pt idx="83">
                  <c:v>460421.17766821757</c:v>
                </c:pt>
                <c:pt idx="84">
                  <c:v>460437.98129706644</c:v>
                </c:pt>
                <c:pt idx="85">
                  <c:v>460455.34569073841</c:v>
                </c:pt>
                <c:pt idx="86">
                  <c:v>460473.27084711753</c:v>
                </c:pt>
                <c:pt idx="87">
                  <c:v>460491.75676402077</c:v>
                </c:pt>
                <c:pt idx="88">
                  <c:v>460510.80343919434</c:v>
                </c:pt>
                <c:pt idx="89">
                  <c:v>460530.41087031737</c:v>
                </c:pt>
                <c:pt idx="90">
                  <c:v>460550.57905500196</c:v>
                </c:pt>
                <c:pt idx="91">
                  <c:v>460571.30799078941</c:v>
                </c:pt>
                <c:pt idx="92">
                  <c:v>460592.59767515585</c:v>
                </c:pt>
                <c:pt idx="93">
                  <c:v>460614.44810550474</c:v>
                </c:pt>
                <c:pt idx="94">
                  <c:v>460636.85927917529</c:v>
                </c:pt>
                <c:pt idx="95">
                  <c:v>460659.83119343594</c:v>
                </c:pt>
                <c:pt idx="96">
                  <c:v>460683.36384548806</c:v>
                </c:pt>
                <c:pt idx="97">
                  <c:v>460707.45723246504</c:v>
                </c:pt>
                <c:pt idx="98">
                  <c:v>460732.11135143042</c:v>
                </c:pt>
                <c:pt idx="99">
                  <c:v>460757.32619937975</c:v>
                </c:pt>
                <c:pt idx="100">
                  <c:v>460783.1017732406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CA-465F-9A9E-8383B0988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724271"/>
        <c:axId val="1898780527"/>
      </c:scatterChart>
      <c:valAx>
        <c:axId val="211572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898780527"/>
        <c:crosses val="autoZero"/>
        <c:crossBetween val="midCat"/>
      </c:valAx>
      <c:valAx>
        <c:axId val="18987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11572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344804</xdr:colOff>
      <xdr:row>4</xdr:row>
      <xdr:rowOff>51435</xdr:rowOff>
    </xdr:from>
    <xdr:to>
      <xdr:col>15</xdr:col>
      <xdr:colOff>468629</xdr:colOff>
      <xdr:row>23</xdr:row>
      <xdr:rowOff>132397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20FC46-4816-6662-8EE2-2E3609D32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59054</xdr:colOff>
      <xdr:row>5</xdr:row>
      <xdr:rowOff>51435</xdr:rowOff>
    </xdr:from>
    <xdr:to>
      <xdr:col>36</xdr:col>
      <xdr:colOff>182879</xdr:colOff>
      <xdr:row>24</xdr:row>
      <xdr:rowOff>132397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367071-5471-4AE3-8083-11FF90612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206829</xdr:colOff>
      <xdr:row>6</xdr:row>
      <xdr:rowOff>163286</xdr:rowOff>
    </xdr:from>
    <xdr:to>
      <xdr:col>53</xdr:col>
      <xdr:colOff>330654</xdr:colOff>
      <xdr:row>26</xdr:row>
      <xdr:rowOff>59190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9B1CD3-085A-4E3F-BD85-742936447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62</xdr:col>
      <xdr:colOff>206829</xdr:colOff>
      <xdr:row>6</xdr:row>
      <xdr:rowOff>163286</xdr:rowOff>
    </xdr:from>
    <xdr:to>
      <xdr:col>71</xdr:col>
      <xdr:colOff>330654</xdr:colOff>
      <xdr:row>26</xdr:row>
      <xdr:rowOff>59190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9ED5A4-990B-4994-912B-11B8CDCD1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4856F-9F4A-4977-B69B-6F2DF8E27E36}" name="Table1" displayName="Table1" ref="A6:C38" totalsRowShown="0">
  <autoFilter ref="A6:C38" xr:uid="{AA44856F-9F4A-4977-B69B-6F2DF8E27E36}"/>
  <sortState xmlns:xlrd2="http://schemas.microsoft.com/office/spreadsheetml/2017/richdata2" ref="A7:C38">
    <sortCondition ref="A6:A38"/>
  </sortState>
  <tableColumns count="3">
    <tableColumn id="1" xr3:uid="{E0A9D73E-6B92-4E44-A50D-9BF6A14DA91C}" name="Angle"/>
    <tableColumn id="2" xr3:uid="{116383D3-2A6D-43EE-9A6C-C303363EC6BE}" name="Intensity"/>
    <tableColumn id="3" xr3:uid="{90E891A6-3B14-41CD-BF57-185C157F7BC7}" name="Fit" dataDxfId="3">
      <calculatedColumnFormula>$F$7*COS(2*(RADIANS($F$8-A7))) + $F$9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BEBC73-B158-4388-9FBE-5C76FF6559DA}" name="Table13" displayName="Table13" ref="T7:V188" totalsRowShown="0">
  <autoFilter ref="T7:V188" xr:uid="{17BEBC73-B158-4388-9FBE-5C76FF6559DA}"/>
  <tableColumns count="3">
    <tableColumn id="1" xr3:uid="{11501A70-60B9-46F6-BDE3-18ABEECB038A}" name="Angle"/>
    <tableColumn id="2" xr3:uid="{E79290C2-0BE4-421B-A92C-0A05204C5F61}" name="Intensity"/>
    <tableColumn id="3" xr3:uid="{0EC6232F-C0E2-49EE-A1FB-4E511B7FA71A}" name="Fit" dataDxfId="2">
      <calculatedColumnFormula>$Y$8*COS(2*(RADIANS($Y$9-T8))) + $Y$10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F6EAE3-A2E5-4CB3-8865-2C3D496FE050}" name="Table134" displayName="Table134" ref="AL7:AN108" totalsRowShown="0">
  <autoFilter ref="AL7:AN108" xr:uid="{50F6EAE3-A2E5-4CB3-8865-2C3D496FE050}"/>
  <tableColumns count="3">
    <tableColumn id="1" xr3:uid="{2443A09D-DE18-4A98-9F9E-B808F178A917}" name="Angle"/>
    <tableColumn id="2" xr3:uid="{1243D600-7BD1-439B-9905-3972868E787C}" name="Intensity"/>
    <tableColumn id="3" xr3:uid="{BDC65BD8-35B3-4310-88EF-BD4AFB0DCED4}" name="Fit" dataDxfId="1">
      <calculatedColumnFormula>$AQ$8*COS(2*(RADIANS($AQ$9-AL8))) + $AQ$10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CF3A1B-72C0-4302-A429-83975C3F135E}" name="Table1345" displayName="Table1345" ref="BD7:BF108" totalsRowShown="0">
  <autoFilter ref="BD7:BF108" xr:uid="{ACCF3A1B-72C0-4302-A429-83975C3F135E}"/>
  <tableColumns count="3">
    <tableColumn id="1" xr3:uid="{F70A383C-D4BA-4162-ABF1-E96B8A18C4D6}" name="Angle"/>
    <tableColumn id="2" xr3:uid="{1C7073DD-1CED-42D3-BC78-D2B67D6FCABC}" name="Intensity"/>
    <tableColumn id="3" xr3:uid="{D1B832CB-700E-4E41-A3C5-157168A620AE}" name="Fit" dataDxfId="0">
      <calculatedColumnFormula>$BI$8*COS(2*(RADIANS($BI$9-BD8))) + $BI$10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140B5-835A-4842-9E31-31B56C51F79B}">
  <dimension ref="A1:BJ188"/>
  <sheetViews>
    <sheetView tabSelected="1" topLeftCell="BE3" zoomScale="115" zoomScaleNormal="115" workbookViewId="0">
      <selection activeCell="BT31" sqref="BT31"/>
    </sheetView>
  </sheetViews>
  <sheetFormatPr defaultRowHeight="14.4" x14ac:dyDescent="0.3"/>
  <cols>
    <col min="2" max="2" width="11.109375" customWidth="1"/>
    <col min="5" max="5" width="15" bestFit="1" customWidth="1"/>
    <col min="6" max="6" width="12.44140625" bestFit="1" customWidth="1"/>
    <col min="21" max="21" width="10.33203125" bestFit="1" customWidth="1"/>
    <col min="24" max="24" width="15.77734375" customWidth="1"/>
    <col min="40" max="40" width="11.109375" bestFit="1" customWidth="1"/>
  </cols>
  <sheetData>
    <row r="1" spans="1:62" x14ac:dyDescent="0.3">
      <c r="A1" s="5" t="s">
        <v>0</v>
      </c>
      <c r="B1" s="5"/>
      <c r="C1" s="5"/>
      <c r="D1" s="5"/>
      <c r="E1" s="5"/>
      <c r="F1" s="5"/>
      <c r="G1" s="5"/>
      <c r="H1" s="5"/>
    </row>
    <row r="2" spans="1:62" x14ac:dyDescent="0.3">
      <c r="A2" s="5"/>
      <c r="B2" s="5"/>
      <c r="C2" s="5"/>
      <c r="D2" s="5"/>
      <c r="E2" s="5"/>
      <c r="F2" s="5"/>
      <c r="G2" s="5"/>
      <c r="H2" s="5"/>
    </row>
    <row r="4" spans="1:62" x14ac:dyDescent="0.3">
      <c r="A4" s="3" t="s">
        <v>10</v>
      </c>
      <c r="B4" s="3"/>
      <c r="C4" s="3"/>
      <c r="D4" s="3"/>
    </row>
    <row r="5" spans="1:62" x14ac:dyDescent="0.3">
      <c r="A5" s="3"/>
      <c r="B5" s="3"/>
      <c r="C5" s="3"/>
      <c r="D5" s="3"/>
      <c r="T5" s="4" t="s">
        <v>11</v>
      </c>
      <c r="U5" s="4"/>
      <c r="V5" s="4"/>
      <c r="W5" s="4"/>
      <c r="AL5" s="4" t="s">
        <v>11</v>
      </c>
      <c r="AM5" s="4"/>
      <c r="AN5" s="4"/>
      <c r="AO5" s="4"/>
      <c r="BD5" s="4" t="s">
        <v>11</v>
      </c>
      <c r="BE5" s="4"/>
      <c r="BF5" s="4"/>
      <c r="BG5" s="4"/>
    </row>
    <row r="6" spans="1:62" x14ac:dyDescent="0.3">
      <c r="A6" t="s">
        <v>1</v>
      </c>
      <c r="B6" t="s">
        <v>2</v>
      </c>
      <c r="C6" t="s">
        <v>3</v>
      </c>
      <c r="E6" s="2" t="s">
        <v>6</v>
      </c>
      <c r="F6" s="2"/>
      <c r="T6" s="4"/>
      <c r="U6" s="4"/>
      <c r="V6" s="4"/>
      <c r="W6" s="4"/>
      <c r="AL6" s="4"/>
      <c r="AM6" s="4"/>
      <c r="AN6" s="4"/>
      <c r="AO6" s="4"/>
      <c r="BD6" s="4"/>
      <c r="BE6" s="4"/>
      <c r="BF6" s="4"/>
      <c r="BG6" s="4"/>
    </row>
    <row r="7" spans="1:62" x14ac:dyDescent="0.3">
      <c r="A7">
        <v>0</v>
      </c>
      <c r="B7">
        <v>6721075.5899999999</v>
      </c>
      <c r="C7">
        <f t="shared" ref="C7:C38" si="0">$F$7*COS(2*(RADIANS($F$8-A7))) + $F$9</f>
        <v>6657926.7691477053</v>
      </c>
      <c r="E7" s="1" t="s">
        <v>4</v>
      </c>
      <c r="F7">
        <v>-3353972.0807394749</v>
      </c>
      <c r="T7" t="s">
        <v>1</v>
      </c>
      <c r="U7" t="s">
        <v>2</v>
      </c>
      <c r="V7" t="s">
        <v>3</v>
      </c>
      <c r="X7" s="2" t="s">
        <v>6</v>
      </c>
      <c r="Y7" s="2"/>
      <c r="AL7" t="s">
        <v>1</v>
      </c>
      <c r="AM7" t="s">
        <v>2</v>
      </c>
      <c r="AN7" t="s">
        <v>3</v>
      </c>
      <c r="AP7" s="2" t="s">
        <v>6</v>
      </c>
      <c r="AQ7" s="2"/>
      <c r="BD7" t="s">
        <v>1</v>
      </c>
      <c r="BE7" t="s">
        <v>2</v>
      </c>
      <c r="BF7" t="s">
        <v>3</v>
      </c>
      <c r="BH7" s="2" t="s">
        <v>6</v>
      </c>
      <c r="BI7" s="2"/>
    </row>
    <row r="8" spans="1:62" x14ac:dyDescent="0.3">
      <c r="A8">
        <v>10</v>
      </c>
      <c r="B8">
        <v>6296698.7300000004</v>
      </c>
      <c r="C8">
        <f t="shared" si="0"/>
        <v>6254110.0084760096</v>
      </c>
      <c r="E8" s="1" t="s">
        <v>5</v>
      </c>
      <c r="F8">
        <v>84.857908853652702</v>
      </c>
      <c r="T8">
        <v>0</v>
      </c>
      <c r="U8">
        <v>6393676.6710367203</v>
      </c>
      <c r="V8">
        <f t="shared" ref="V8:V24" si="1">$Y$8*COS(2*(RADIANS($Y$9-T8))) + $Y$10</f>
        <v>6380044.5924469419</v>
      </c>
      <c r="X8" s="1" t="s">
        <v>4</v>
      </c>
      <c r="Y8">
        <v>-3002454.1429387843</v>
      </c>
      <c r="AL8">
        <v>75</v>
      </c>
      <c r="AM8">
        <v>536896.29060229205</v>
      </c>
      <c r="AN8">
        <f t="shared" ref="AN8:AN39" si="2">$AQ$8*COS(2*(RADIANS($AQ$9-AL8))) + $AQ$10</f>
        <v>582491.84158260887</v>
      </c>
      <c r="AP8" s="1" t="s">
        <v>4</v>
      </c>
      <c r="AQ8">
        <v>-3002454.1429387843</v>
      </c>
      <c r="BD8">
        <v>81</v>
      </c>
      <c r="BE8">
        <v>462471.96673537599</v>
      </c>
      <c r="BF8">
        <f t="shared" ref="BF8:BF39" si="3">$BI$8*COS(2*(RADIANS($BI$9-BD8))) + $BI$10</f>
        <v>460981.36652285419</v>
      </c>
      <c r="BH8" s="1" t="s">
        <v>4</v>
      </c>
      <c r="BI8">
        <v>-4602466.0823365021</v>
      </c>
    </row>
    <row r="9" spans="1:62" x14ac:dyDescent="0.3">
      <c r="A9">
        <v>20</v>
      </c>
      <c r="B9">
        <v>5524384.6500000004</v>
      </c>
      <c r="C9">
        <f t="shared" si="0"/>
        <v>5500960.1459395736</v>
      </c>
      <c r="E9" s="1" t="s">
        <v>9</v>
      </c>
      <c r="F9">
        <v>3357838.3878456042</v>
      </c>
      <c r="T9">
        <v>1</v>
      </c>
      <c r="U9">
        <v>6364132.5917718802</v>
      </c>
      <c r="V9">
        <f t="shared" si="1"/>
        <v>6348073.4823723733</v>
      </c>
      <c r="X9" s="1" t="s">
        <v>5</v>
      </c>
      <c r="Y9">
        <v>81.618885947399193</v>
      </c>
      <c r="Z9">
        <f>MOD(Y9, 90)</f>
        <v>81.618885947399193</v>
      </c>
      <c r="AL9">
        <v>75.099999999999994</v>
      </c>
      <c r="AM9">
        <v>534289.76835601695</v>
      </c>
      <c r="AN9">
        <f t="shared" si="2"/>
        <v>580109.68531443365</v>
      </c>
      <c r="AP9" s="1" t="s">
        <v>5</v>
      </c>
      <c r="AQ9">
        <v>81.618885947399193</v>
      </c>
      <c r="AR9">
        <f>MOD(AQ9, 90)</f>
        <v>81.618885947399193</v>
      </c>
      <c r="BD9">
        <v>81.010000000000005</v>
      </c>
      <c r="BE9">
        <v>461668.12623168802</v>
      </c>
      <c r="BF9">
        <f t="shared" si="3"/>
        <v>460951.62604464311</v>
      </c>
      <c r="BH9" s="1" t="s">
        <v>5</v>
      </c>
      <c r="BI9">
        <v>81.535355936247228</v>
      </c>
      <c r="BJ9">
        <f>MOD(BI9, 90)</f>
        <v>81.535355936247228</v>
      </c>
    </row>
    <row r="10" spans="1:62" x14ac:dyDescent="0.3">
      <c r="A10">
        <v>30</v>
      </c>
      <c r="B10">
        <v>4486114.55</v>
      </c>
      <c r="C10">
        <f t="shared" si="0"/>
        <v>4489318.1702684499</v>
      </c>
      <c r="T10">
        <v>2</v>
      </c>
      <c r="U10">
        <v>6329076.3125620596</v>
      </c>
      <c r="V10">
        <f t="shared" si="1"/>
        <v>6312638.7265094761</v>
      </c>
      <c r="X10" s="1" t="s">
        <v>9</v>
      </c>
      <c r="Y10">
        <v>3505165.2306072554</v>
      </c>
      <c r="AL10">
        <v>75.2</v>
      </c>
      <c r="AM10">
        <v>531709.58237305703</v>
      </c>
      <c r="AN10">
        <f t="shared" si="2"/>
        <v>577763.16992498608</v>
      </c>
      <c r="AP10" s="1" t="s">
        <v>9</v>
      </c>
      <c r="AQ10">
        <v>3505165.2306072554</v>
      </c>
      <c r="BD10">
        <v>81.02</v>
      </c>
      <c r="BE10">
        <v>461062.96831800701</v>
      </c>
      <c r="BF10">
        <f t="shared" si="3"/>
        <v>460922.4462686684</v>
      </c>
      <c r="BH10" s="1" t="s">
        <v>9</v>
      </c>
      <c r="BI10">
        <v>5062643.8340451894</v>
      </c>
    </row>
    <row r="11" spans="1:62" x14ac:dyDescent="0.3">
      <c r="A11">
        <v>40</v>
      </c>
      <c r="B11">
        <v>3300117.27</v>
      </c>
      <c r="C11">
        <f t="shared" si="0"/>
        <v>3341203.0339740217</v>
      </c>
      <c r="E11" s="2" t="s">
        <v>7</v>
      </c>
      <c r="F11" s="2"/>
      <c r="T11">
        <v>3</v>
      </c>
      <c r="U11">
        <v>6291499.04596237</v>
      </c>
      <c r="V11">
        <f t="shared" si="1"/>
        <v>6273783.496649961</v>
      </c>
      <c r="AL11">
        <v>75.3</v>
      </c>
      <c r="AM11">
        <v>529254.27960564103</v>
      </c>
      <c r="AN11">
        <f t="shared" si="2"/>
        <v>575452.3240058166</v>
      </c>
      <c r="BD11">
        <v>81.03</v>
      </c>
      <c r="BE11">
        <v>460907.27891910699</v>
      </c>
      <c r="BF11">
        <f t="shared" si="3"/>
        <v>460893.82719848678</v>
      </c>
    </row>
    <row r="12" spans="1:62" x14ac:dyDescent="0.3">
      <c r="A12">
        <v>50</v>
      </c>
      <c r="B12">
        <v>2175236.94</v>
      </c>
      <c r="C12">
        <f t="shared" si="0"/>
        <v>2195094.3668681816</v>
      </c>
      <c r="E12" s="1" t="s">
        <v>8</v>
      </c>
      <c r="F12" cm="1">
        <f t="array" ref="F12">SUMSQ(Table1[Intensity]-Table1[Fit])+100*SUMSQ(B15:B29-C15:C29)</f>
        <v>12092964188.0144</v>
      </c>
      <c r="T12">
        <v>4</v>
      </c>
      <c r="U12">
        <v>6248008.6528248899</v>
      </c>
      <c r="V12">
        <f t="shared" si="1"/>
        <v>6231555.1319062244</v>
      </c>
      <c r="X12" s="2" t="s">
        <v>7</v>
      </c>
      <c r="Y12" s="2"/>
      <c r="AL12">
        <v>75.400000000000006</v>
      </c>
      <c r="AM12">
        <v>526943.91250455996</v>
      </c>
      <c r="AN12">
        <f t="shared" si="2"/>
        <v>573177.17571385251</v>
      </c>
      <c r="AP12" s="2" t="s">
        <v>7</v>
      </c>
      <c r="AQ12" s="2"/>
      <c r="BD12">
        <v>81.040000000000006</v>
      </c>
      <c r="BE12">
        <v>461159.40367614798</v>
      </c>
      <c r="BF12">
        <f t="shared" si="3"/>
        <v>460865.76883758605</v>
      </c>
      <c r="BH12" s="2" t="s">
        <v>7</v>
      </c>
      <c r="BI12" s="2"/>
    </row>
    <row r="13" spans="1:62" x14ac:dyDescent="0.3">
      <c r="A13">
        <v>60</v>
      </c>
      <c r="B13">
        <v>1184956.31</v>
      </c>
      <c r="C13">
        <f t="shared" si="0"/>
        <v>1189229.7889663484</v>
      </c>
      <c r="T13">
        <v>5</v>
      </c>
      <c r="U13">
        <v>6206606.1016488597</v>
      </c>
      <c r="V13">
        <f t="shared" si="1"/>
        <v>6186005.0810359241</v>
      </c>
      <c r="X13" s="1" t="s">
        <v>8</v>
      </c>
      <c r="Y13" cm="1">
        <f t="array" ref="Y13">SUMSQ(Table13[Intensity]-Table13[Fit])</f>
        <v>1837080431760.374</v>
      </c>
      <c r="AL13">
        <v>75.5</v>
      </c>
      <c r="AM13">
        <v>524632.081949485</v>
      </c>
      <c r="AN13">
        <f t="shared" si="2"/>
        <v>570937.75277105905</v>
      </c>
      <c r="AP13" s="1" t="s">
        <v>8</v>
      </c>
      <c r="AQ13" cm="1">
        <f t="array" ref="AQ13">SUMSQ(Table134[Intensity]-Table134[Fit])</f>
        <v>216677083242.59509</v>
      </c>
      <c r="BD13">
        <v>81.05</v>
      </c>
      <c r="BE13">
        <v>461078.42234164599</v>
      </c>
      <c r="BF13">
        <f t="shared" si="3"/>
        <v>460838.2711893823</v>
      </c>
      <c r="BH13" s="1" t="s">
        <v>8</v>
      </c>
      <c r="BI13" cm="1">
        <f t="array" ref="BI13">SUMSQ(Table1345[Intensity]-Table1345[Fit])</f>
        <v>4718494.9379207399</v>
      </c>
    </row>
    <row r="14" spans="1:62" x14ac:dyDescent="0.3">
      <c r="A14">
        <v>70</v>
      </c>
      <c r="B14">
        <v>439900.7</v>
      </c>
      <c r="C14">
        <f t="shared" si="0"/>
        <v>444931.41334361676</v>
      </c>
      <c r="E14" s="2" t="s">
        <v>14</v>
      </c>
      <c r="F14" s="2"/>
      <c r="T14">
        <v>6</v>
      </c>
      <c r="U14">
        <v>6160916.5057343701</v>
      </c>
      <c r="V14">
        <f t="shared" si="1"/>
        <v>6137188.8397595976</v>
      </c>
      <c r="AL14">
        <v>75.599999999999994</v>
      </c>
      <c r="AM14">
        <v>522373.25945729302</v>
      </c>
      <c r="AN14">
        <f t="shared" si="2"/>
        <v>568734.08246409707</v>
      </c>
      <c r="BD14">
        <v>81.06</v>
      </c>
      <c r="BE14">
        <v>461151.16509849898</v>
      </c>
      <c r="BF14">
        <f t="shared" si="3"/>
        <v>460811.33425722923</v>
      </c>
    </row>
    <row r="15" spans="1:62" x14ac:dyDescent="0.3">
      <c r="A15">
        <v>80</v>
      </c>
      <c r="B15">
        <v>50420.89</v>
      </c>
      <c r="C15">
        <f t="shared" si="0"/>
        <v>51972.60877421312</v>
      </c>
      <c r="E15" t="s">
        <v>12</v>
      </c>
      <c r="F15">
        <v>25</v>
      </c>
      <c r="T15">
        <v>7</v>
      </c>
      <c r="U15">
        <v>6115175.8681071298</v>
      </c>
      <c r="V15">
        <f t="shared" si="1"/>
        <v>6085165.8831476774</v>
      </c>
      <c r="X15" s="2" t="s">
        <v>14</v>
      </c>
      <c r="Y15" s="2"/>
      <c r="AL15">
        <v>75.7</v>
      </c>
      <c r="AM15">
        <v>520085.03322765901</v>
      </c>
      <c r="AN15">
        <f t="shared" si="2"/>
        <v>566566.19164399337</v>
      </c>
      <c r="AP15" s="2" t="s">
        <v>14</v>
      </c>
      <c r="AQ15" s="2"/>
      <c r="BD15">
        <v>81.069999999999993</v>
      </c>
      <c r="BE15">
        <v>460790.24306953</v>
      </c>
      <c r="BF15">
        <f t="shared" si="3"/>
        <v>460784.95804440603</v>
      </c>
      <c r="BH15" s="2" t="s">
        <v>14</v>
      </c>
      <c r="BI15" s="2"/>
    </row>
    <row r="16" spans="1:62" x14ac:dyDescent="0.3">
      <c r="A16">
        <v>82</v>
      </c>
      <c r="B16">
        <v>19910.2</v>
      </c>
      <c r="C16">
        <f t="shared" si="0"/>
        <v>20541.878189790994</v>
      </c>
      <c r="E16" t="s">
        <v>13</v>
      </c>
      <c r="F16">
        <v>10</v>
      </c>
      <c r="T16">
        <v>8</v>
      </c>
      <c r="U16">
        <v>6065503.0355731901</v>
      </c>
      <c r="V16">
        <f t="shared" si="1"/>
        <v>6029999.5931592695</v>
      </c>
      <c r="X16" t="s">
        <v>12</v>
      </c>
      <c r="Y16">
        <v>80</v>
      </c>
      <c r="AL16">
        <v>75.8</v>
      </c>
      <c r="AM16">
        <v>517804.27355492098</v>
      </c>
      <c r="AN16">
        <f t="shared" si="2"/>
        <v>564434.10672581475</v>
      </c>
      <c r="AP16" t="s">
        <v>12</v>
      </c>
      <c r="AQ16">
        <v>80</v>
      </c>
      <c r="BD16">
        <v>81.08</v>
      </c>
      <c r="BE16">
        <v>460819.04597855301</v>
      </c>
      <c r="BF16">
        <f t="shared" si="3"/>
        <v>460759.14255412854</v>
      </c>
      <c r="BH16" t="s">
        <v>12</v>
      </c>
      <c r="BI16">
        <v>80</v>
      </c>
    </row>
    <row r="17" spans="1:61" x14ac:dyDescent="0.3">
      <c r="A17">
        <v>83.6</v>
      </c>
      <c r="B17">
        <v>7636.94</v>
      </c>
      <c r="C17">
        <f t="shared" si="0"/>
        <v>7099.0617403914221</v>
      </c>
      <c r="T17">
        <v>9</v>
      </c>
      <c r="U17">
        <v>6012810.89954847</v>
      </c>
      <c r="V17">
        <f t="shared" si="1"/>
        <v>5971757.1814210117</v>
      </c>
      <c r="X17" t="s">
        <v>13</v>
      </c>
      <c r="Y17">
        <v>10</v>
      </c>
      <c r="AL17">
        <v>75.900000000000006</v>
      </c>
      <c r="AM17">
        <v>515762.83579776098</v>
      </c>
      <c r="AN17">
        <f t="shared" si="2"/>
        <v>562337.85368834203</v>
      </c>
      <c r="AP17" t="s">
        <v>13</v>
      </c>
      <c r="AQ17">
        <v>10</v>
      </c>
      <c r="BD17">
        <v>81.09</v>
      </c>
      <c r="BE17">
        <v>460750.85309124598</v>
      </c>
      <c r="BF17">
        <f t="shared" si="3"/>
        <v>460733.88778954186</v>
      </c>
      <c r="BH17" t="s">
        <v>13</v>
      </c>
      <c r="BI17">
        <v>10</v>
      </c>
    </row>
    <row r="18" spans="1:61" x14ac:dyDescent="0.3">
      <c r="A18">
        <v>83.8</v>
      </c>
      <c r="B18">
        <v>6246.91</v>
      </c>
      <c r="C18">
        <f t="shared" si="0"/>
        <v>6152.9130277056247</v>
      </c>
      <c r="T18">
        <v>10</v>
      </c>
      <c r="U18">
        <v>5951711.8500998104</v>
      </c>
      <c r="V18">
        <f t="shared" si="1"/>
        <v>5910509.6073400509</v>
      </c>
      <c r="AL18">
        <v>76</v>
      </c>
      <c r="AM18">
        <v>513648.64746919798</v>
      </c>
      <c r="AN18">
        <f t="shared" si="2"/>
        <v>560277.45807375759</v>
      </c>
      <c r="BD18">
        <v>81.099999999999994</v>
      </c>
      <c r="BE18">
        <v>460819.87913480098</v>
      </c>
      <c r="BF18">
        <f t="shared" si="3"/>
        <v>460709.19375372212</v>
      </c>
    </row>
    <row r="19" spans="1:61" x14ac:dyDescent="0.3">
      <c r="A19">
        <v>84</v>
      </c>
      <c r="B19">
        <v>5109.6400000000003</v>
      </c>
      <c r="C19">
        <f t="shared" si="0"/>
        <v>5370.1207365398295</v>
      </c>
      <c r="T19">
        <v>11</v>
      </c>
      <c r="U19">
        <v>5890557.4222782599</v>
      </c>
      <c r="V19">
        <f t="shared" si="1"/>
        <v>5846331.4916509381</v>
      </c>
      <c r="AL19">
        <v>76.099999999999994</v>
      </c>
      <c r="AM19">
        <v>511625.58385342202</v>
      </c>
      <c r="AN19">
        <f t="shared" si="2"/>
        <v>558252.94498733152</v>
      </c>
      <c r="BD19">
        <v>81.11</v>
      </c>
      <c r="BE19">
        <v>460691.98266054603</v>
      </c>
      <c r="BF19">
        <f t="shared" si="3"/>
        <v>460685.06044968031</v>
      </c>
    </row>
    <row r="20" spans="1:61" x14ac:dyDescent="0.3">
      <c r="A20">
        <v>84</v>
      </c>
      <c r="B20">
        <v>5660.58</v>
      </c>
      <c r="C20">
        <f t="shared" si="0"/>
        <v>5370.1207365398295</v>
      </c>
      <c r="T20">
        <v>12</v>
      </c>
      <c r="U20">
        <v>5825263.3841383103</v>
      </c>
      <c r="V20">
        <f t="shared" si="1"/>
        <v>5779301.0255017607</v>
      </c>
      <c r="AL20">
        <v>76.2</v>
      </c>
      <c r="AM20">
        <v>509547.10808515898</v>
      </c>
      <c r="AN20">
        <f t="shared" si="2"/>
        <v>556264.33909711707</v>
      </c>
      <c r="BD20">
        <v>81.12</v>
      </c>
      <c r="BE20">
        <v>460602.43434749398</v>
      </c>
      <c r="BF20">
        <f t="shared" si="3"/>
        <v>460661.48788035475</v>
      </c>
    </row>
    <row r="21" spans="1:61" x14ac:dyDescent="0.3">
      <c r="A21">
        <v>84.2</v>
      </c>
      <c r="B21">
        <v>5386.66</v>
      </c>
      <c r="C21">
        <f t="shared" si="0"/>
        <v>4750.7230190858245</v>
      </c>
      <c r="T21">
        <v>13</v>
      </c>
      <c r="U21">
        <v>5755341.0494658602</v>
      </c>
      <c r="V21">
        <f t="shared" si="1"/>
        <v>5709499.8751902692</v>
      </c>
      <c r="AL21">
        <v>76.3</v>
      </c>
      <c r="AM21">
        <v>507784.36553077301</v>
      </c>
      <c r="AN21">
        <f t="shared" si="2"/>
        <v>554311.6646336494</v>
      </c>
      <c r="BD21">
        <v>81.13</v>
      </c>
      <c r="BE21">
        <v>460587.81612160901</v>
      </c>
      <c r="BF21">
        <f t="shared" si="3"/>
        <v>460638.47604862042</v>
      </c>
    </row>
    <row r="22" spans="1:61" x14ac:dyDescent="0.3">
      <c r="A22">
        <v>84.4</v>
      </c>
      <c r="B22">
        <v>4544.34</v>
      </c>
      <c r="C22">
        <f t="shared" si="0"/>
        <v>4294.7500639134087</v>
      </c>
      <c r="T22">
        <v>14</v>
      </c>
      <c r="U22">
        <v>5684950.5942204501</v>
      </c>
      <c r="V22">
        <f t="shared" si="1"/>
        <v>5637013.0826660767</v>
      </c>
      <c r="AL22">
        <v>76.400000000000006</v>
      </c>
      <c r="AM22">
        <v>505672.70233589102</v>
      </c>
      <c r="AN22">
        <f t="shared" si="2"/>
        <v>552394.94538964983</v>
      </c>
      <c r="BD22">
        <v>81.14</v>
      </c>
      <c r="BE22">
        <v>460400.79959304602</v>
      </c>
      <c r="BF22">
        <f t="shared" si="3"/>
        <v>460616.02495727781</v>
      </c>
    </row>
    <row r="23" spans="1:61" x14ac:dyDescent="0.3">
      <c r="A23">
        <v>84.6</v>
      </c>
      <c r="B23">
        <v>4465.62</v>
      </c>
      <c r="C23">
        <f t="shared" si="0"/>
        <v>4002.2240945026278</v>
      </c>
      <c r="T23">
        <v>15</v>
      </c>
      <c r="U23">
        <v>5610232.3117233403</v>
      </c>
      <c r="V23">
        <f t="shared" si="1"/>
        <v>5561928.9619201357</v>
      </c>
      <c r="AL23">
        <v>76.5</v>
      </c>
      <c r="AM23">
        <v>503718.74901160301</v>
      </c>
      <c r="AN23">
        <f t="shared" si="2"/>
        <v>550514.20471973857</v>
      </c>
      <c r="BD23">
        <v>81.150000000000006</v>
      </c>
      <c r="BE23">
        <v>460514.87168406701</v>
      </c>
      <c r="BF23">
        <f t="shared" si="3"/>
        <v>460594.13460906502</v>
      </c>
    </row>
    <row r="24" spans="1:61" x14ac:dyDescent="0.3">
      <c r="A24">
        <v>84.8</v>
      </c>
      <c r="B24">
        <v>4642.43</v>
      </c>
      <c r="C24">
        <f t="shared" si="0"/>
        <v>3873.1593681559898</v>
      </c>
      <c r="T24">
        <v>16</v>
      </c>
      <c r="U24">
        <v>5531547.0937925298</v>
      </c>
      <c r="V24">
        <f t="shared" si="1"/>
        <v>5484338.9913877565</v>
      </c>
      <c r="AL24">
        <v>76.599999999999994</v>
      </c>
      <c r="AM24">
        <v>502266.53926641401</v>
      </c>
      <c r="AN24">
        <f t="shared" si="2"/>
        <v>548669.46554014692</v>
      </c>
      <c r="BD24">
        <v>81.16</v>
      </c>
      <c r="BE24">
        <v>460366.63568028802</v>
      </c>
      <c r="BF24">
        <f t="shared" si="3"/>
        <v>460572.80500664935</v>
      </c>
    </row>
    <row r="25" spans="1:61" x14ac:dyDescent="0.3">
      <c r="A25">
        <v>85</v>
      </c>
      <c r="B25">
        <v>4674.8500000000004</v>
      </c>
      <c r="C25">
        <f t="shared" si="0"/>
        <v>3907.5621753060259</v>
      </c>
      <c r="T25">
        <v>17</v>
      </c>
      <c r="U25">
        <v>5450562.4695175001</v>
      </c>
      <c r="V25" s="6">
        <f t="shared" ref="V25:V56" si="4">$Y$8*COS(2*(RADIANS($Y$9-T25))) + $Y$10</f>
        <v>5404337.7024962129</v>
      </c>
      <c r="AL25">
        <v>76.7</v>
      </c>
      <c r="AM25">
        <v>500412.527534511</v>
      </c>
      <c r="AN25" s="6">
        <f t="shared" si="2"/>
        <v>546860.75032843882</v>
      </c>
      <c r="BD25">
        <v>81.17</v>
      </c>
      <c r="BE25">
        <v>460594.89757513098</v>
      </c>
      <c r="BF25" s="6">
        <f t="shared" si="3"/>
        <v>460552.03615262732</v>
      </c>
    </row>
    <row r="26" spans="1:61" x14ac:dyDescent="0.3">
      <c r="A26">
        <v>85.2</v>
      </c>
      <c r="B26">
        <v>4894.3999999999996</v>
      </c>
      <c r="C26">
        <f t="shared" si="0"/>
        <v>4105.4308392084204</v>
      </c>
      <c r="T26">
        <v>18</v>
      </c>
      <c r="U26">
        <v>5365959.29008599</v>
      </c>
      <c r="V26" s="6">
        <f t="shared" si="4"/>
        <v>5322022.5644927658</v>
      </c>
      <c r="AL26">
        <v>76.8</v>
      </c>
      <c r="AM26">
        <v>498566.18926607998</v>
      </c>
      <c r="AN26" s="6">
        <f t="shared" si="2"/>
        <v>545088.08112323983</v>
      </c>
      <c r="BD26">
        <v>81.180000000000007</v>
      </c>
      <c r="BE26">
        <v>460481.56810171902</v>
      </c>
      <c r="BF26" s="6">
        <f t="shared" si="3"/>
        <v>460531.82804953214</v>
      </c>
    </row>
    <row r="27" spans="1:61" x14ac:dyDescent="0.3">
      <c r="A27">
        <v>86</v>
      </c>
      <c r="B27">
        <v>6314.12</v>
      </c>
      <c r="C27">
        <f t="shared" si="0"/>
        <v>6531.2516917120665</v>
      </c>
      <c r="T27">
        <v>19</v>
      </c>
      <c r="U27">
        <v>5279701.1895847796</v>
      </c>
      <c r="V27" s="6">
        <f t="shared" si="4"/>
        <v>5237493.865693396</v>
      </c>
      <c r="AL27">
        <v>76.900000000000006</v>
      </c>
      <c r="AM27">
        <v>496796.84046183602</v>
      </c>
      <c r="AN27" s="6">
        <f t="shared" si="2"/>
        <v>543351.47952396329</v>
      </c>
      <c r="BD27">
        <v>81.19</v>
      </c>
      <c r="BE27">
        <v>460573.83513950399</v>
      </c>
      <c r="BF27" s="6">
        <f t="shared" si="3"/>
        <v>460512.18069982622</v>
      </c>
    </row>
    <row r="28" spans="1:61" x14ac:dyDescent="0.3">
      <c r="A28">
        <v>88</v>
      </c>
      <c r="B28">
        <v>23943.65</v>
      </c>
      <c r="C28">
        <f t="shared" si="0"/>
        <v>24019.614142011385</v>
      </c>
      <c r="T28">
        <v>20</v>
      </c>
      <c r="U28">
        <v>5189303.4858150501</v>
      </c>
      <c r="V28" s="6">
        <f t="shared" si="4"/>
        <v>5150854.5912969448</v>
      </c>
      <c r="AL28">
        <v>77</v>
      </c>
      <c r="AM28">
        <v>495149.06643860502</v>
      </c>
      <c r="AN28" s="6">
        <f t="shared" si="2"/>
        <v>541650.96669055196</v>
      </c>
      <c r="BD28">
        <v>81.2</v>
      </c>
      <c r="BE28">
        <v>460450.49410866498</v>
      </c>
      <c r="BF28" s="6">
        <f t="shared" si="3"/>
        <v>460493.0941059012</v>
      </c>
    </row>
    <row r="29" spans="1:61" x14ac:dyDescent="0.3">
      <c r="A29">
        <v>90</v>
      </c>
      <c r="B29">
        <v>56185.46</v>
      </c>
      <c r="C29">
        <f t="shared" si="0"/>
        <v>57750.006543502677</v>
      </c>
      <c r="T29">
        <v>21</v>
      </c>
      <c r="U29">
        <v>5096137.7613875596</v>
      </c>
      <c r="V29" s="6">
        <f t="shared" si="4"/>
        <v>5062210.2979135057</v>
      </c>
      <c r="AL29">
        <v>77.099999999999994</v>
      </c>
      <c r="AM29">
        <v>493663.257151709</v>
      </c>
      <c r="AN29" s="6">
        <f t="shared" si="2"/>
        <v>539986.56334321946</v>
      </c>
      <c r="BD29">
        <v>81.209999999999994</v>
      </c>
      <c r="BE29">
        <v>460156.506078529</v>
      </c>
      <c r="BF29" s="6">
        <f t="shared" si="3"/>
        <v>460474.56827008445</v>
      </c>
    </row>
    <row r="30" spans="1:61" x14ac:dyDescent="0.3">
      <c r="A30">
        <v>100</v>
      </c>
      <c r="B30">
        <v>462806.63</v>
      </c>
      <c r="C30">
        <f t="shared" si="0"/>
        <v>461566.7672151993</v>
      </c>
      <c r="T30">
        <v>22</v>
      </c>
      <c r="U30">
        <v>5073747.9413670702</v>
      </c>
      <c r="V30" s="6">
        <f t="shared" si="4"/>
        <v>4971668.98495996</v>
      </c>
      <c r="AL30">
        <v>77.2</v>
      </c>
      <c r="AM30">
        <v>491790.86061041098</v>
      </c>
      <c r="AN30" s="6">
        <f t="shared" si="2"/>
        <v>538358.28976219287</v>
      </c>
      <c r="BD30">
        <v>81.22</v>
      </c>
      <c r="BE30">
        <v>460274.63073388999</v>
      </c>
      <c r="BF30" s="6">
        <f t="shared" si="3"/>
        <v>460456.60319463257</v>
      </c>
    </row>
    <row r="31" spans="1:61" x14ac:dyDescent="0.3">
      <c r="A31">
        <v>110</v>
      </c>
      <c r="B31">
        <v>1221992.79</v>
      </c>
      <c r="C31">
        <f t="shared" si="0"/>
        <v>1214716.6297516352</v>
      </c>
      <c r="T31">
        <v>23</v>
      </c>
      <c r="U31">
        <v>5015255.24321598</v>
      </c>
      <c r="V31" s="6">
        <f t="shared" si="4"/>
        <v>4879340.9630793212</v>
      </c>
      <c r="AL31">
        <v>77.3</v>
      </c>
      <c r="AM31">
        <v>490157.99697786802</v>
      </c>
      <c r="AN31" s="6">
        <f t="shared" si="2"/>
        <v>536766.16578747425</v>
      </c>
      <c r="BD31">
        <v>81.23</v>
      </c>
      <c r="BE31">
        <v>460394.215664552</v>
      </c>
      <c r="BF31" s="6">
        <f t="shared" si="3"/>
        <v>460439.19888173509</v>
      </c>
    </row>
    <row r="32" spans="1:61" x14ac:dyDescent="0.3">
      <c r="A32">
        <v>120</v>
      </c>
      <c r="B32">
        <v>2234799.58</v>
      </c>
      <c r="C32">
        <f t="shared" si="0"/>
        <v>2226358.6054227585</v>
      </c>
      <c r="T32">
        <v>24</v>
      </c>
      <c r="U32">
        <v>4947027.2709073797</v>
      </c>
      <c r="V32" s="6">
        <f t="shared" si="4"/>
        <v>4785338.7197442111</v>
      </c>
      <c r="AL32">
        <v>77.400000000000006</v>
      </c>
      <c r="AM32">
        <v>488398.38977979001</v>
      </c>
      <c r="AN32" s="6">
        <f t="shared" si="2"/>
        <v>535210.2108185906</v>
      </c>
      <c r="BD32">
        <v>81.239999999999995</v>
      </c>
      <c r="BE32">
        <v>460264.003855496</v>
      </c>
      <c r="BF32" s="6">
        <f t="shared" si="3"/>
        <v>460422.35533351265</v>
      </c>
    </row>
    <row r="33" spans="1:58" x14ac:dyDescent="0.3">
      <c r="A33">
        <v>130</v>
      </c>
      <c r="B33">
        <v>3375348.29</v>
      </c>
      <c r="C33">
        <f t="shared" si="0"/>
        <v>3374473.7417171863</v>
      </c>
      <c r="T33">
        <v>25</v>
      </c>
      <c r="U33">
        <v>5069108.9477584101</v>
      </c>
      <c r="V33" s="6">
        <f t="shared" si="4"/>
        <v>4689776.782208195</v>
      </c>
      <c r="AL33">
        <v>77.5</v>
      </c>
      <c r="AM33">
        <v>486766.64154176001</v>
      </c>
      <c r="AN33" s="6">
        <f t="shared" si="2"/>
        <v>533690.4438143624</v>
      </c>
      <c r="BD33">
        <v>81.25</v>
      </c>
      <c r="BE33">
        <v>460168.26074424799</v>
      </c>
      <c r="BF33" s="6">
        <f t="shared" si="3"/>
        <v>460406.07255201694</v>
      </c>
    </row>
    <row r="34" spans="1:58" x14ac:dyDescent="0.3">
      <c r="A34">
        <v>140</v>
      </c>
      <c r="B34">
        <v>4505416.05</v>
      </c>
      <c r="C34">
        <f t="shared" si="0"/>
        <v>4520582.4088230263</v>
      </c>
      <c r="T34">
        <v>26</v>
      </c>
      <c r="U34">
        <v>4956911.8381073102</v>
      </c>
      <c r="V34" s="6">
        <f t="shared" si="4"/>
        <v>4592771.5779719763</v>
      </c>
      <c r="AL34">
        <v>77.599999999999994</v>
      </c>
      <c r="AM34">
        <v>485174.84998070297</v>
      </c>
      <c r="AN34" s="6">
        <f t="shared" si="2"/>
        <v>532206.88329267083</v>
      </c>
      <c r="BD34">
        <v>81.260000000000005</v>
      </c>
      <c r="BE34">
        <v>460331.781992034</v>
      </c>
      <c r="BF34" s="6">
        <f t="shared" si="3"/>
        <v>460390.3505392326</v>
      </c>
    </row>
    <row r="35" spans="1:58" x14ac:dyDescent="0.3">
      <c r="A35">
        <v>150</v>
      </c>
      <c r="B35">
        <v>5505318.7800000003</v>
      </c>
      <c r="C35">
        <f t="shared" si="0"/>
        <v>5526446.98672486</v>
      </c>
      <c r="T35">
        <v>27</v>
      </c>
      <c r="U35">
        <v>4843975.3489638399</v>
      </c>
      <c r="V35" s="6">
        <f t="shared" si="4"/>
        <v>4494441.2929344065</v>
      </c>
      <c r="AL35">
        <v>77.7</v>
      </c>
      <c r="AM35">
        <v>483798.45943239803</v>
      </c>
      <c r="AN35" s="6">
        <f t="shared" si="2"/>
        <v>530759.5473302328</v>
      </c>
      <c r="BD35">
        <v>81.27</v>
      </c>
      <c r="BE35">
        <v>460438.97704988398</v>
      </c>
      <c r="BF35" s="6">
        <f t="shared" si="3"/>
        <v>460375.18929707538</v>
      </c>
    </row>
    <row r="36" spans="1:58" x14ac:dyDescent="0.3">
      <c r="A36">
        <v>160</v>
      </c>
      <c r="B36">
        <v>6258773.71</v>
      </c>
      <c r="C36">
        <f t="shared" si="0"/>
        <v>6270745.3623475917</v>
      </c>
      <c r="T36">
        <v>28</v>
      </c>
      <c r="U36">
        <v>4732492.2369612502</v>
      </c>
      <c r="V36" s="6">
        <f t="shared" si="4"/>
        <v>4394905.7274011876</v>
      </c>
      <c r="AL36">
        <v>77.8</v>
      </c>
      <c r="AM36">
        <v>482487.034483011</v>
      </c>
      <c r="AN36" s="6">
        <f t="shared" si="2"/>
        <v>529348.45356238028</v>
      </c>
      <c r="BD36">
        <v>81.28</v>
      </c>
      <c r="BE36">
        <v>460510.17218731699</v>
      </c>
      <c r="BF36" s="6">
        <f t="shared" si="3"/>
        <v>460360.58882739209</v>
      </c>
    </row>
    <row r="37" spans="1:58" x14ac:dyDescent="0.3">
      <c r="A37">
        <v>170</v>
      </c>
      <c r="B37">
        <v>6648602.6100000003</v>
      </c>
      <c r="C37">
        <f t="shared" si="0"/>
        <v>6663704.1669169953</v>
      </c>
      <c r="T37">
        <v>29</v>
      </c>
      <c r="U37">
        <v>3454230.4719423898</v>
      </c>
      <c r="V37" s="6">
        <f t="shared" si="4"/>
        <v>4294286.1501266416</v>
      </c>
      <c r="AL37">
        <v>77.900000000000006</v>
      </c>
      <c r="AM37">
        <v>481124.14829971298</v>
      </c>
      <c r="AN37" s="6">
        <f t="shared" si="2"/>
        <v>527973.61918284558</v>
      </c>
      <c r="BD37">
        <v>81.290000000000006</v>
      </c>
      <c r="BE37">
        <v>460151.18379756098</v>
      </c>
      <c r="BF37" s="6">
        <f t="shared" si="3"/>
        <v>460346.54913196154</v>
      </c>
    </row>
    <row r="38" spans="1:58" x14ac:dyDescent="0.3">
      <c r="A38">
        <v>180</v>
      </c>
      <c r="B38">
        <v>6617930.2400000002</v>
      </c>
      <c r="C38">
        <f t="shared" si="0"/>
        <v>6657926.7691477053</v>
      </c>
      <c r="T38">
        <v>30</v>
      </c>
      <c r="U38">
        <v>4174883.19669209</v>
      </c>
      <c r="V38" s="6">
        <f t="shared" si="4"/>
        <v>4192705.150566421</v>
      </c>
      <c r="AL38">
        <v>78</v>
      </c>
      <c r="AM38">
        <v>479550.74269737798</v>
      </c>
      <c r="AN38" s="6">
        <f t="shared" si="2"/>
        <v>526635.06094355183</v>
      </c>
      <c r="BD38">
        <v>81.3</v>
      </c>
      <c r="BE38">
        <v>460299.03552249097</v>
      </c>
      <c r="BF38" s="6">
        <f t="shared" si="3"/>
        <v>460333.07021249551</v>
      </c>
    </row>
    <row r="39" spans="1:58" x14ac:dyDescent="0.3">
      <c r="T39">
        <v>31</v>
      </c>
      <c r="U39">
        <v>4140602.27694003</v>
      </c>
      <c r="V39" s="6">
        <f t="shared" si="4"/>
        <v>4090286.4895211356</v>
      </c>
      <c r="AL39">
        <v>78.099999999999994</v>
      </c>
      <c r="AM39">
        <v>478498.83673155901</v>
      </c>
      <c r="AN39" s="6">
        <f t="shared" si="2"/>
        <v>525332.79515440855</v>
      </c>
      <c r="BD39">
        <v>81.31</v>
      </c>
      <c r="BE39">
        <v>460163.14400483703</v>
      </c>
      <c r="BF39" s="6">
        <f t="shared" si="3"/>
        <v>460320.15207063593</v>
      </c>
    </row>
    <row r="40" spans="1:58" x14ac:dyDescent="0.3">
      <c r="T40">
        <v>32</v>
      </c>
      <c r="U40">
        <v>4034008.8586069299</v>
      </c>
      <c r="V40" s="6">
        <f t="shared" si="4"/>
        <v>3987154.9483528845</v>
      </c>
      <c r="AL40">
        <v>78.2</v>
      </c>
      <c r="AM40">
        <v>476818.191809799</v>
      </c>
      <c r="AN40" s="6">
        <f t="shared" ref="AN40:AN71" si="5">$AQ$8*COS(2*(RADIANS($AQ$9-AL40))) + $AQ$10</f>
        <v>524066.83768311329</v>
      </c>
      <c r="BD40">
        <v>81.319999999999993</v>
      </c>
      <c r="BE40">
        <v>460287.19356230501</v>
      </c>
      <c r="BF40" s="6">
        <f t="shared" ref="BF40:BF71" si="6">$BI$8*COS(2*(RADIANS($BI$9-BD40))) + $BI$10</f>
        <v>460307.79470795579</v>
      </c>
    </row>
    <row r="41" spans="1:58" x14ac:dyDescent="0.3">
      <c r="T41">
        <v>33</v>
      </c>
      <c r="U41">
        <v>4044703.9092576699</v>
      </c>
      <c r="V41" s="6">
        <f t="shared" si="4"/>
        <v>3883436.1769583845</v>
      </c>
      <c r="AL41">
        <v>78.3</v>
      </c>
      <c r="AM41">
        <v>475948.41746956401</v>
      </c>
      <c r="AN41" s="6">
        <f t="shared" si="5"/>
        <v>522837.20395495882</v>
      </c>
      <c r="BD41">
        <v>81.33</v>
      </c>
      <c r="BE41">
        <v>460052.163220649</v>
      </c>
      <c r="BF41" s="6">
        <f t="shared" si="6"/>
        <v>460295.99812596198</v>
      </c>
    </row>
    <row r="42" spans="1:58" x14ac:dyDescent="0.3">
      <c r="T42">
        <v>34</v>
      </c>
      <c r="U42">
        <v>3934809.79864043</v>
      </c>
      <c r="V42" s="6">
        <f t="shared" si="4"/>
        <v>3779256.5406839279</v>
      </c>
      <c r="AL42">
        <v>78.400000000000006</v>
      </c>
      <c r="AM42">
        <v>474459.42511628999</v>
      </c>
      <c r="AN42" s="6">
        <f t="shared" si="5"/>
        <v>521643.90895264316</v>
      </c>
      <c r="BD42">
        <v>81.34</v>
      </c>
      <c r="BE42">
        <v>460121.016726606</v>
      </c>
      <c r="BF42" s="6">
        <f t="shared" si="6"/>
        <v>460284.76232609246</v>
      </c>
    </row>
    <row r="43" spans="1:58" x14ac:dyDescent="0.3">
      <c r="T43">
        <v>35</v>
      </c>
      <c r="U43">
        <v>3710000.9548274698</v>
      </c>
      <c r="V43" s="6">
        <f t="shared" si="4"/>
        <v>3674742.9663686734</v>
      </c>
      <c r="AL43">
        <v>78.5</v>
      </c>
      <c r="AM43">
        <v>473496.10991943697</v>
      </c>
      <c r="AN43" s="6">
        <f t="shared" si="5"/>
        <v>520486.96721609076</v>
      </c>
      <c r="BD43">
        <v>81.349999999999994</v>
      </c>
      <c r="BE43">
        <v>460108.84571678902</v>
      </c>
      <c r="BF43" s="6">
        <f t="shared" si="6"/>
        <v>460274.08730971441</v>
      </c>
    </row>
    <row r="44" spans="1:58" x14ac:dyDescent="0.3">
      <c r="T44">
        <v>36</v>
      </c>
      <c r="U44">
        <v>3512923.9067193</v>
      </c>
      <c r="V44" s="6">
        <f t="shared" si="4"/>
        <v>3570022.7877038405</v>
      </c>
      <c r="AL44">
        <v>78.599999999999994</v>
      </c>
      <c r="AM44">
        <v>472338.21343179001</v>
      </c>
      <c r="AN44" s="6">
        <f t="shared" si="5"/>
        <v>519366.39284226997</v>
      </c>
      <c r="BD44">
        <v>81.36</v>
      </c>
      <c r="BE44">
        <v>460214.57090204902</v>
      </c>
      <c r="BF44" s="6">
        <f t="shared" si="6"/>
        <v>460263.97307812981</v>
      </c>
    </row>
    <row r="45" spans="1:58" x14ac:dyDescent="0.3">
      <c r="T45">
        <v>37</v>
      </c>
      <c r="U45">
        <v>3416243.6336829499</v>
      </c>
      <c r="V45" s="6">
        <f t="shared" si="4"/>
        <v>3465223.5900962264</v>
      </c>
      <c r="AL45">
        <v>78.7</v>
      </c>
      <c r="AM45">
        <v>471060.16926798201</v>
      </c>
      <c r="AN45" s="6">
        <f t="shared" si="5"/>
        <v>518282.19948502723</v>
      </c>
      <c r="BD45">
        <v>81.37</v>
      </c>
      <c r="BE45">
        <v>460240.82054230198</v>
      </c>
      <c r="BF45" s="6">
        <f t="shared" si="6"/>
        <v>460254.41963257082</v>
      </c>
    </row>
    <row r="46" spans="1:58" x14ac:dyDescent="0.3">
      <c r="T46">
        <v>38</v>
      </c>
      <c r="U46">
        <v>3316520.1803319901</v>
      </c>
      <c r="V46" s="6">
        <f t="shared" si="4"/>
        <v>3360473.055225037</v>
      </c>
      <c r="AL46">
        <v>78.8</v>
      </c>
      <c r="AM46">
        <v>470290.689187059</v>
      </c>
      <c r="AN46" s="6">
        <f t="shared" si="5"/>
        <v>517234.40035491576</v>
      </c>
      <c r="BD46">
        <v>81.38</v>
      </c>
      <c r="BE46">
        <v>459993.597738766</v>
      </c>
      <c r="BF46" s="6">
        <f t="shared" si="6"/>
        <v>460245.42697420157</v>
      </c>
    </row>
    <row r="47" spans="1:58" x14ac:dyDescent="0.3">
      <c r="T47">
        <v>39</v>
      </c>
      <c r="U47">
        <v>3213017.2677544099</v>
      </c>
      <c r="V47" s="6">
        <f t="shared" si="4"/>
        <v>3255898.8054814297</v>
      </c>
      <c r="AL47">
        <v>78.900000000000006</v>
      </c>
      <c r="AM47">
        <v>469177.03638562799</v>
      </c>
      <c r="AN47" s="6">
        <f t="shared" si="5"/>
        <v>516223.0082190372</v>
      </c>
      <c r="BD47">
        <v>81.39</v>
      </c>
      <c r="BE47">
        <v>460083.42974931101</v>
      </c>
      <c r="BF47" s="6">
        <f t="shared" si="6"/>
        <v>460236.99510411732</v>
      </c>
    </row>
    <row r="48" spans="1:58" x14ac:dyDescent="0.3">
      <c r="T48">
        <v>40</v>
      </c>
      <c r="U48">
        <v>3108055.3745433199</v>
      </c>
      <c r="V48" s="6">
        <f t="shared" si="4"/>
        <v>3151628.2484802897</v>
      </c>
      <c r="AL48">
        <v>79</v>
      </c>
      <c r="AM48">
        <v>467997.61927999201</v>
      </c>
      <c r="AN48" s="6">
        <f t="shared" si="5"/>
        <v>515248.03540088609</v>
      </c>
      <c r="BD48">
        <v>81.400000000000006</v>
      </c>
      <c r="BE48">
        <v>459894.37987412699</v>
      </c>
      <c r="BF48" s="6">
        <f t="shared" si="6"/>
        <v>460229.12402334623</v>
      </c>
    </row>
    <row r="49" spans="20:58" x14ac:dyDescent="0.3">
      <c r="T49">
        <v>41</v>
      </c>
      <c r="U49">
        <v>2999781.2730603698</v>
      </c>
      <c r="V49" s="6">
        <f t="shared" si="4"/>
        <v>3047788.4218336735</v>
      </c>
      <c r="AL49">
        <v>79.099999999999994</v>
      </c>
      <c r="AM49">
        <v>467232.91250613</v>
      </c>
      <c r="AN49" s="6">
        <f t="shared" si="5"/>
        <v>514309.49378019758</v>
      </c>
      <c r="BD49">
        <v>81.41</v>
      </c>
      <c r="BE49">
        <v>460269.43197153398</v>
      </c>
      <c r="BF49" s="6">
        <f t="shared" si="6"/>
        <v>460221.81373284664</v>
      </c>
    </row>
    <row r="50" spans="20:58" x14ac:dyDescent="0.3">
      <c r="T50">
        <v>42</v>
      </c>
      <c r="U50">
        <v>2889349.7468313002</v>
      </c>
      <c r="V50" s="6">
        <f t="shared" si="4"/>
        <v>2944505.838375051</v>
      </c>
      <c r="AL50">
        <v>79.2</v>
      </c>
      <c r="AM50">
        <v>466470.21756151097</v>
      </c>
      <c r="AN50" s="6">
        <f t="shared" si="5"/>
        <v>513407.39479280682</v>
      </c>
      <c r="BD50">
        <v>81.42</v>
      </c>
      <c r="BE50">
        <v>460184.67371051398</v>
      </c>
      <c r="BF50" s="6">
        <f t="shared" si="6"/>
        <v>460215.06423350982</v>
      </c>
    </row>
    <row r="51" spans="20:58" x14ac:dyDescent="0.3">
      <c r="T51">
        <v>43</v>
      </c>
      <c r="U51">
        <v>2783996.6133921598</v>
      </c>
      <c r="V51" s="6">
        <f t="shared" si="4"/>
        <v>2841906.3320229049</v>
      </c>
      <c r="AL51">
        <v>79.3</v>
      </c>
      <c r="AM51">
        <v>465507.98569422303</v>
      </c>
      <c r="AN51" s="6">
        <f t="shared" si="5"/>
        <v>512541.74943050323</v>
      </c>
      <c r="BD51">
        <v>81.430000000000007</v>
      </c>
      <c r="BE51">
        <v>460061.18268692697</v>
      </c>
      <c r="BF51" s="6">
        <f t="shared" si="6"/>
        <v>460208.87552615814</v>
      </c>
    </row>
    <row r="52" spans="20:58" x14ac:dyDescent="0.3">
      <c r="T52">
        <v>44</v>
      </c>
      <c r="U52">
        <v>2683159.8578154002</v>
      </c>
      <c r="V52" s="6">
        <f t="shared" si="4"/>
        <v>2740114.9044714835</v>
      </c>
      <c r="AL52">
        <v>79.400000000000006</v>
      </c>
      <c r="AM52">
        <v>464674.113726268</v>
      </c>
      <c r="AN52" s="6">
        <f t="shared" si="5"/>
        <v>511712.56824090378</v>
      </c>
      <c r="BD52">
        <v>81.44</v>
      </c>
      <c r="BE52">
        <v>460195.25966043002</v>
      </c>
      <c r="BF52" s="6">
        <f t="shared" si="6"/>
        <v>460203.24761154503</v>
      </c>
    </row>
    <row r="53" spans="20:58" x14ac:dyDescent="0.3">
      <c r="T53">
        <v>45</v>
      </c>
      <c r="U53">
        <v>2580050.84169845</v>
      </c>
      <c r="V53" s="6">
        <f t="shared" si="4"/>
        <v>2639255.5728954887</v>
      </c>
      <c r="AL53">
        <v>79.5</v>
      </c>
      <c r="AM53">
        <v>464006.960643692</v>
      </c>
      <c r="AN53" s="6">
        <f t="shared" si="5"/>
        <v>510919.86132731941</v>
      </c>
      <c r="BD53">
        <v>81.45</v>
      </c>
      <c r="BE53">
        <v>460171.023767484</v>
      </c>
      <c r="BF53" s="6">
        <f t="shared" si="6"/>
        <v>460198.18049035687</v>
      </c>
    </row>
    <row r="54" spans="20:58" x14ac:dyDescent="0.3">
      <c r="T54">
        <v>46</v>
      </c>
      <c r="U54">
        <v>2479133.14287822</v>
      </c>
      <c r="V54" s="6">
        <f t="shared" si="4"/>
        <v>2539451.2188542588</v>
      </c>
      <c r="AL54">
        <v>79.599999999999994</v>
      </c>
      <c r="AM54">
        <v>463141.624164493</v>
      </c>
      <c r="AN54" s="6">
        <f t="shared" si="5"/>
        <v>510163.63834863296</v>
      </c>
      <c r="BD54">
        <v>81.459999999999994</v>
      </c>
      <c r="BE54">
        <v>460068.61197828798</v>
      </c>
      <c r="BF54" s="6">
        <f t="shared" si="6"/>
        <v>460193.67416321114</v>
      </c>
    </row>
    <row r="55" spans="20:58" x14ac:dyDescent="0.3">
      <c r="T55">
        <v>47</v>
      </c>
      <c r="U55">
        <v>2381859.2452428401</v>
      </c>
      <c r="V55" s="6">
        <f t="shared" si="4"/>
        <v>2440823.4385795095</v>
      </c>
      <c r="AL55">
        <v>79.7</v>
      </c>
      <c r="AM55">
        <v>462664.542690526</v>
      </c>
      <c r="AN55" s="6">
        <f t="shared" si="5"/>
        <v>509443.90851918375</v>
      </c>
      <c r="BD55">
        <v>81.47</v>
      </c>
      <c r="BE55">
        <v>460206.40869953402</v>
      </c>
      <c r="BF55" s="6">
        <f t="shared" si="6"/>
        <v>460189.72863065638</v>
      </c>
    </row>
    <row r="56" spans="20:58" x14ac:dyDescent="0.3">
      <c r="T56">
        <v>48</v>
      </c>
      <c r="U56">
        <v>2283633.5959782298</v>
      </c>
      <c r="V56" s="6">
        <f t="shared" si="4"/>
        <v>2343492.3948290618</v>
      </c>
      <c r="AL56">
        <v>79.8</v>
      </c>
      <c r="AM56">
        <v>461769.55987099803</v>
      </c>
      <c r="AN56" s="6">
        <f t="shared" si="5"/>
        <v>508760.68060865207</v>
      </c>
      <c r="BD56">
        <v>81.48</v>
      </c>
      <c r="BE56">
        <v>460300.99062628101</v>
      </c>
      <c r="BF56" s="6">
        <f t="shared" si="6"/>
        <v>460186.34389317315</v>
      </c>
    </row>
    <row r="57" spans="20:58" x14ac:dyDescent="0.3">
      <c r="T57">
        <v>49</v>
      </c>
      <c r="U57">
        <v>2187184.4345089998</v>
      </c>
      <c r="V57" s="6">
        <f t="shared" ref="V57:V88" si="7">$Y$8*COS(2*(RADIANS($Y$9-T57))) + $Y$10</f>
        <v>2247576.6704870271</v>
      </c>
      <c r="AL57">
        <v>79.900000000000006</v>
      </c>
      <c r="AM57">
        <v>461593.53236231802</v>
      </c>
      <c r="AN57" s="6">
        <f t="shared" si="5"/>
        <v>508113.96294195484</v>
      </c>
      <c r="BD57">
        <v>81.489999999999995</v>
      </c>
      <c r="BE57">
        <v>460082.68620852701</v>
      </c>
      <c r="BF57" s="6">
        <f t="shared" si="6"/>
        <v>460183.51995117497</v>
      </c>
    </row>
    <row r="58" spans="20:58" x14ac:dyDescent="0.3">
      <c r="T58">
        <v>50</v>
      </c>
      <c r="U58">
        <v>2094085.2345042799</v>
      </c>
      <c r="V58" s="6">
        <f t="shared" si="7"/>
        <v>2153193.1240888312</v>
      </c>
      <c r="AL58">
        <v>80</v>
      </c>
      <c r="AM58">
        <v>460820.89427198702</v>
      </c>
      <c r="AN58" s="6">
        <f t="shared" si="5"/>
        <v>507503.76339914184</v>
      </c>
      <c r="BD58">
        <v>81.5</v>
      </c>
      <c r="BE58">
        <v>460184.60645688302</v>
      </c>
      <c r="BF58" s="6">
        <f t="shared" si="6"/>
        <v>460181.25680500548</v>
      </c>
    </row>
    <row r="59" spans="20:58" x14ac:dyDescent="0.3">
      <c r="T59">
        <v>51</v>
      </c>
      <c r="U59">
        <v>2000017.3733601901</v>
      </c>
      <c r="V59" s="6">
        <f t="shared" si="7"/>
        <v>2060456.74744709</v>
      </c>
      <c r="AL59">
        <v>80.099999999999994</v>
      </c>
      <c r="AM59">
        <v>460117.28957349301</v>
      </c>
      <c r="AN59" s="6">
        <f t="shared" si="5"/>
        <v>506930.0894153025</v>
      </c>
      <c r="BD59">
        <v>81.510000000000005</v>
      </c>
      <c r="BE59">
        <v>460248.53896886401</v>
      </c>
      <c r="BF59" s="6">
        <f t="shared" si="6"/>
        <v>460179.55445494037</v>
      </c>
    </row>
    <row r="60" spans="20:58" x14ac:dyDescent="0.3">
      <c r="T60">
        <v>52</v>
      </c>
      <c r="U60">
        <v>1909070.1773820401</v>
      </c>
      <c r="V60" s="6">
        <f t="shared" si="7"/>
        <v>1969480.5255517971</v>
      </c>
      <c r="AL60">
        <v>80.2</v>
      </c>
      <c r="AM60">
        <v>459758.05973264802</v>
      </c>
      <c r="AN60" s="6">
        <f t="shared" si="5"/>
        <v>506392.94798047328</v>
      </c>
      <c r="BD60">
        <v>81.52</v>
      </c>
      <c r="BE60">
        <v>460390.10397621698</v>
      </c>
      <c r="BF60" s="6">
        <f t="shared" si="6"/>
        <v>460178.41290118638</v>
      </c>
    </row>
    <row r="61" spans="20:58" x14ac:dyDescent="0.3">
      <c r="T61">
        <v>53</v>
      </c>
      <c r="U61">
        <v>1821705.6980679</v>
      </c>
      <c r="V61" s="6">
        <f t="shared" si="7"/>
        <v>1880375.2989155203</v>
      </c>
      <c r="AL61">
        <v>80.3</v>
      </c>
      <c r="AM61">
        <v>459224.16420189</v>
      </c>
      <c r="AN61" s="6">
        <f t="shared" si="5"/>
        <v>505892.34563955292</v>
      </c>
      <c r="BD61">
        <v>81.53</v>
      </c>
      <c r="BE61">
        <v>460212.66587948299</v>
      </c>
      <c r="BF61" s="6">
        <f t="shared" si="6"/>
        <v>460177.83214388322</v>
      </c>
    </row>
    <row r="62" spans="20:58" x14ac:dyDescent="0.3">
      <c r="T62">
        <v>54</v>
      </c>
      <c r="U62">
        <v>1733864.4341358801</v>
      </c>
      <c r="V62" s="6">
        <f t="shared" si="7"/>
        <v>1793249.6285313072</v>
      </c>
      <c r="AL62">
        <v>80.400000000000006</v>
      </c>
      <c r="AM62">
        <v>458667.02581020002</v>
      </c>
      <c r="AN62" s="6">
        <f t="shared" si="5"/>
        <v>505428.28849222371</v>
      </c>
      <c r="BD62">
        <v>81.540000000000006</v>
      </c>
      <c r="BE62">
        <v>460150.953625308</v>
      </c>
      <c r="BF62" s="6">
        <f t="shared" si="6"/>
        <v>460177.81218310166</v>
      </c>
    </row>
    <row r="63" spans="20:58" x14ac:dyDescent="0.3">
      <c r="T63">
        <v>55</v>
      </c>
      <c r="U63">
        <v>1648786.5781980499</v>
      </c>
      <c r="V63" s="6">
        <f t="shared" si="7"/>
        <v>1708209.6636078402</v>
      </c>
      <c r="AL63">
        <v>80.5</v>
      </c>
      <c r="AM63">
        <v>458424.53128985199</v>
      </c>
      <c r="AN63" s="6">
        <f t="shared" si="5"/>
        <v>505000.78219287423</v>
      </c>
      <c r="BD63">
        <v>81.55</v>
      </c>
      <c r="BE63">
        <v>460376.411038324</v>
      </c>
      <c r="BF63" s="6">
        <f t="shared" si="6"/>
        <v>460178.3530188445</v>
      </c>
    </row>
    <row r="64" spans="20:58" x14ac:dyDescent="0.3">
      <c r="T64">
        <v>56</v>
      </c>
      <c r="U64">
        <v>1567643.6735922699</v>
      </c>
      <c r="V64" s="6">
        <f t="shared" si="7"/>
        <v>1625359.0122429761</v>
      </c>
      <c r="AL64">
        <v>80.599999999999994</v>
      </c>
      <c r="AM64">
        <v>458046.33231553802</v>
      </c>
      <c r="AN64" s="6">
        <f t="shared" si="5"/>
        <v>504609.83195053507</v>
      </c>
      <c r="BD64">
        <v>81.56</v>
      </c>
      <c r="BE64">
        <v>460060.73766385397</v>
      </c>
      <c r="BF64" s="6">
        <f t="shared" si="6"/>
        <v>460179.45465104468</v>
      </c>
    </row>
    <row r="65" spans="20:58" x14ac:dyDescent="0.3">
      <c r="T65">
        <v>57</v>
      </c>
      <c r="U65">
        <v>1486423.0362732301</v>
      </c>
      <c r="V65" s="6">
        <f t="shared" si="7"/>
        <v>1544798.6151932389</v>
      </c>
      <c r="AL65">
        <v>80.7</v>
      </c>
      <c r="AM65">
        <v>457654.73870630801</v>
      </c>
      <c r="AN65" s="6">
        <f t="shared" si="5"/>
        <v>504255.44252881035</v>
      </c>
      <c r="BD65">
        <v>81.569999999999993</v>
      </c>
      <c r="BE65">
        <v>460274.01021020499</v>
      </c>
      <c r="BF65" s="6">
        <f t="shared" si="6"/>
        <v>460181.11707956996</v>
      </c>
    </row>
    <row r="66" spans="20:58" x14ac:dyDescent="0.3">
      <c r="T66">
        <v>58</v>
      </c>
      <c r="U66">
        <v>1409131.4962792599</v>
      </c>
      <c r="V66" s="6">
        <f t="shared" si="7"/>
        <v>1466626.6228930557</v>
      </c>
      <c r="AL66">
        <v>80.8</v>
      </c>
      <c r="AM66">
        <v>457105.81244741898</v>
      </c>
      <c r="AN66" s="6">
        <f t="shared" si="5"/>
        <v>503937.61824582424</v>
      </c>
      <c r="BD66">
        <v>81.58</v>
      </c>
      <c r="BE66">
        <v>460090.29993746203</v>
      </c>
      <c r="BF66" s="6">
        <f t="shared" si="6"/>
        <v>460183.34030421544</v>
      </c>
    </row>
    <row r="67" spans="20:58" x14ac:dyDescent="0.3">
      <c r="T67">
        <v>59</v>
      </c>
      <c r="U67">
        <v>1334637.3168451199</v>
      </c>
      <c r="V67" s="6">
        <f t="shared" si="7"/>
        <v>1390938.2758735716</v>
      </c>
      <c r="AL67">
        <v>80.900000000000006</v>
      </c>
      <c r="AM67">
        <v>457261.97877634497</v>
      </c>
      <c r="AN67" s="6">
        <f t="shared" si="5"/>
        <v>503656.36297416501</v>
      </c>
      <c r="BD67">
        <v>81.59</v>
      </c>
      <c r="BE67">
        <v>460129.41170954698</v>
      </c>
      <c r="BF67" s="6">
        <f t="shared" si="6"/>
        <v>460186.12432471197</v>
      </c>
    </row>
    <row r="68" spans="20:58" x14ac:dyDescent="0.3">
      <c r="T68">
        <v>60</v>
      </c>
      <c r="U68">
        <v>1261422.75658571</v>
      </c>
      <c r="V68" s="6">
        <f t="shared" si="7"/>
        <v>1317825.7887267345</v>
      </c>
      <c r="AL68">
        <v>81</v>
      </c>
      <c r="AM68">
        <v>456833.89680254098</v>
      </c>
      <c r="AN68" s="6">
        <f t="shared" si="5"/>
        <v>503411.68014083942</v>
      </c>
      <c r="BD68">
        <v>81.599999999999994</v>
      </c>
      <c r="BE68">
        <v>460341.56372221798</v>
      </c>
      <c r="BF68" s="6">
        <f t="shared" si="6"/>
        <v>460189.46914071962</v>
      </c>
    </row>
    <row r="69" spans="20:58" x14ac:dyDescent="0.3">
      <c r="T69">
        <v>61</v>
      </c>
      <c r="U69">
        <v>1190746.93075137</v>
      </c>
      <c r="V69" s="6">
        <f t="shared" si="7"/>
        <v>1247378.2377560171</v>
      </c>
      <c r="AL69">
        <v>81.099999999999994</v>
      </c>
      <c r="AM69">
        <v>456460.15168914897</v>
      </c>
      <c r="AN69" s="6">
        <f t="shared" si="5"/>
        <v>503203.57272723084</v>
      </c>
      <c r="BD69">
        <v>81.61</v>
      </c>
      <c r="BE69">
        <v>460234.98982919601</v>
      </c>
      <c r="BF69" s="6">
        <f t="shared" si="6"/>
        <v>460193.37475183047</v>
      </c>
    </row>
    <row r="70" spans="20:58" x14ac:dyDescent="0.3">
      <c r="T70">
        <v>62</v>
      </c>
      <c r="U70">
        <v>1124547.6527763801</v>
      </c>
      <c r="V70" s="6">
        <f t="shared" si="7"/>
        <v>1179681.4524506633</v>
      </c>
      <c r="AL70">
        <v>81.2</v>
      </c>
      <c r="AM70">
        <v>456837.68782600103</v>
      </c>
      <c r="AN70" s="6">
        <f t="shared" si="5"/>
        <v>503032.04326906195</v>
      </c>
      <c r="BD70">
        <v>81.62</v>
      </c>
      <c r="BE70">
        <v>460439.81453184597</v>
      </c>
      <c r="BF70" s="6">
        <f t="shared" si="6"/>
        <v>460197.84115756955</v>
      </c>
    </row>
    <row r="71" spans="20:58" x14ac:dyDescent="0.3">
      <c r="T71">
        <v>63</v>
      </c>
      <c r="U71">
        <v>1059214.68751788</v>
      </c>
      <c r="V71" s="6">
        <f t="shared" si="7"/>
        <v>1114817.9109156784</v>
      </c>
      <c r="AL71">
        <v>81.3</v>
      </c>
      <c r="AM71">
        <v>456435.38552234398</v>
      </c>
      <c r="AN71" s="6">
        <f t="shared" si="5"/>
        <v>502897.09385636542</v>
      </c>
      <c r="BD71">
        <v>81.63</v>
      </c>
      <c r="BE71">
        <v>460259.57816621201</v>
      </c>
      <c r="BF71" s="6">
        <f t="shared" si="6"/>
        <v>460202.86835739203</v>
      </c>
    </row>
    <row r="72" spans="20:58" x14ac:dyDescent="0.3">
      <c r="T72">
        <v>64</v>
      </c>
      <c r="U72">
        <v>997903.09170911706</v>
      </c>
      <c r="V72" s="6">
        <f t="shared" si="7"/>
        <v>1052866.6393849594</v>
      </c>
      <c r="AL72">
        <v>81.400000000000006</v>
      </c>
      <c r="AM72">
        <v>456454.48235536698</v>
      </c>
      <c r="AN72" s="6">
        <f t="shared" ref="AN72:AN103" si="8">$AQ$8*COS(2*(RADIANS($AQ$9-AL72))) + $AQ$10</f>
        <v>502798.72613345692</v>
      </c>
      <c r="BD72">
        <v>81.64</v>
      </c>
      <c r="BE72">
        <v>460372.90284832998</v>
      </c>
      <c r="BF72" s="6">
        <f t="shared" ref="BF72:BF108" si="9">$BI$8*COS(2*(RADIANS($BI$9-BD72))) + $BI$10</f>
        <v>460208.4563506851</v>
      </c>
    </row>
    <row r="73" spans="20:58" x14ac:dyDescent="0.3">
      <c r="T73">
        <v>65</v>
      </c>
      <c r="U73">
        <v>940078.05038923898</v>
      </c>
      <c r="V73" s="6">
        <f t="shared" si="7"/>
        <v>993903.11594000505</v>
      </c>
      <c r="AL73">
        <v>81.5</v>
      </c>
      <c r="AM73">
        <v>456619.35206321802</v>
      </c>
      <c r="AN73" s="6">
        <f t="shared" si="8"/>
        <v>502736.94129891647</v>
      </c>
      <c r="BD73">
        <v>81.650000000000006</v>
      </c>
      <c r="BE73">
        <v>460332.62265355</v>
      </c>
      <c r="BF73" s="6">
        <f t="shared" si="9"/>
        <v>460214.60513676889</v>
      </c>
    </row>
    <row r="74" spans="20:58" x14ac:dyDescent="0.3">
      <c r="T74">
        <v>66</v>
      </c>
      <c r="U74">
        <v>884280.89438954694</v>
      </c>
      <c r="V74" s="6">
        <f t="shared" si="7"/>
        <v>937999.17855149787</v>
      </c>
      <c r="AL74">
        <v>81.599999999999994</v>
      </c>
      <c r="AM74">
        <v>456518.82917839201</v>
      </c>
      <c r="AN74" s="6">
        <f t="shared" si="8"/>
        <v>502711.74010557262</v>
      </c>
      <c r="BD74">
        <v>81.66</v>
      </c>
      <c r="BE74">
        <v>460252.74575704901</v>
      </c>
      <c r="BF74" s="6">
        <f t="shared" si="9"/>
        <v>460221.3147148937</v>
      </c>
    </row>
    <row r="75" spans="20:58" x14ac:dyDescent="0.3">
      <c r="T75">
        <v>67</v>
      </c>
      <c r="U75">
        <v>832132.71369930496</v>
      </c>
      <c r="V75" s="6">
        <f t="shared" si="7"/>
        <v>885222.93755580485</v>
      </c>
      <c r="AL75">
        <v>81.7</v>
      </c>
      <c r="AM75">
        <v>456374.86739765701</v>
      </c>
      <c r="AN75" s="6">
        <f t="shared" si="8"/>
        <v>502723.1228604936</v>
      </c>
      <c r="BD75">
        <v>81.67</v>
      </c>
      <c r="BE75">
        <v>460415.11164570798</v>
      </c>
      <c r="BF75" s="6">
        <f t="shared" si="9"/>
        <v>460228.58508424088</v>
      </c>
    </row>
    <row r="76" spans="20:58" x14ac:dyDescent="0.3">
      <c r="T76">
        <v>68</v>
      </c>
      <c r="U76">
        <v>783688.79488968896</v>
      </c>
      <c r="V76" s="6">
        <f t="shared" si="7"/>
        <v>835638.69267302286</v>
      </c>
      <c r="AL76">
        <v>81.8</v>
      </c>
      <c r="AM76">
        <v>456664.16635798302</v>
      </c>
      <c r="AN76" s="6">
        <f t="shared" si="8"/>
        <v>502771.089424985</v>
      </c>
      <c r="BD76">
        <v>81.680000000000007</v>
      </c>
      <c r="BE76">
        <v>460348.51730376901</v>
      </c>
      <c r="BF76" s="6">
        <f t="shared" si="9"/>
        <v>460236.41624392569</v>
      </c>
    </row>
    <row r="77" spans="20:58" x14ac:dyDescent="0.3">
      <c r="T77">
        <v>69</v>
      </c>
      <c r="U77">
        <v>753147.019153147</v>
      </c>
      <c r="V77" s="6">
        <f t="shared" si="7"/>
        <v>789306.85466767335</v>
      </c>
      <c r="AL77">
        <v>81.900000000000006</v>
      </c>
      <c r="AM77">
        <v>456708.78038734198</v>
      </c>
      <c r="AN77" s="6">
        <f t="shared" si="8"/>
        <v>502855.63921458879</v>
      </c>
      <c r="BD77">
        <v>81.69</v>
      </c>
      <c r="BE77">
        <v>460456.72968699998</v>
      </c>
      <c r="BF77" s="6">
        <f t="shared" si="9"/>
        <v>460244.80819299445</v>
      </c>
    </row>
    <row r="78" spans="20:58" x14ac:dyDescent="0.3">
      <c r="T78">
        <v>70</v>
      </c>
      <c r="U78">
        <v>700154.04361060797</v>
      </c>
      <c r="V78" s="6">
        <f t="shared" si="7"/>
        <v>746283.87174749421</v>
      </c>
      <c r="AL78">
        <v>82</v>
      </c>
      <c r="AM78">
        <v>456741.22593383299</v>
      </c>
      <c r="AN78" s="6">
        <f t="shared" si="8"/>
        <v>502976.77119909227</v>
      </c>
      <c r="BD78">
        <v>81.7</v>
      </c>
      <c r="BE78">
        <v>460198.53681599197</v>
      </c>
      <c r="BF78" s="6">
        <f t="shared" si="9"/>
        <v>460253.76093042362</v>
      </c>
    </row>
    <row r="79" spans="20:58" x14ac:dyDescent="0.3">
      <c r="T79">
        <v>71</v>
      </c>
      <c r="U79">
        <v>659715.24813427997</v>
      </c>
      <c r="V79" s="6">
        <f t="shared" si="7"/>
        <v>706622.16078999033</v>
      </c>
      <c r="AL79">
        <v>82.1</v>
      </c>
      <c r="AM79">
        <v>457145.471530537</v>
      </c>
      <c r="AN79" s="6">
        <f t="shared" si="8"/>
        <v>503134.48390254145</v>
      </c>
      <c r="BD79">
        <v>81.709999999999994</v>
      </c>
      <c r="BE79">
        <v>460387.76634979597</v>
      </c>
      <c r="BF79" s="6">
        <f t="shared" si="9"/>
        <v>460263.27445512265</v>
      </c>
    </row>
    <row r="80" spans="20:58" x14ac:dyDescent="0.3">
      <c r="T80">
        <v>72</v>
      </c>
      <c r="U80">
        <v>623046.52022546297</v>
      </c>
      <c r="V80" s="6">
        <f t="shared" si="7"/>
        <v>670370.04348054575</v>
      </c>
      <c r="AL80">
        <v>82.2</v>
      </c>
      <c r="AM80">
        <v>457191.69697527803</v>
      </c>
      <c r="AN80" s="6">
        <f t="shared" si="8"/>
        <v>503328.77540325513</v>
      </c>
      <c r="BD80">
        <v>81.72</v>
      </c>
      <c r="BE80">
        <v>460461.28172255901</v>
      </c>
      <c r="BF80" s="6">
        <f t="shared" si="9"/>
        <v>460273.34876593295</v>
      </c>
    </row>
    <row r="81" spans="20:58" x14ac:dyDescent="0.3">
      <c r="T81">
        <v>73</v>
      </c>
      <c r="U81">
        <v>590460.30404221697</v>
      </c>
      <c r="V81" s="6">
        <f t="shared" si="7"/>
        <v>637571.68743989151</v>
      </c>
      <c r="AL81">
        <v>82.3</v>
      </c>
      <c r="AM81">
        <v>457376.97539653198</v>
      </c>
      <c r="AN81" s="6">
        <f t="shared" si="8"/>
        <v>503559.64333385415</v>
      </c>
      <c r="BD81">
        <v>81.73</v>
      </c>
      <c r="BE81">
        <v>460250.35942711402</v>
      </c>
      <c r="BF81" s="6">
        <f t="shared" si="9"/>
        <v>460283.98386162519</v>
      </c>
    </row>
    <row r="82" spans="20:58" x14ac:dyDescent="0.3">
      <c r="T82">
        <v>74</v>
      </c>
      <c r="U82">
        <v>563046.43516470201</v>
      </c>
      <c r="V82" s="6">
        <f t="shared" si="7"/>
        <v>608267.05241266312</v>
      </c>
      <c r="AL82">
        <v>82.4</v>
      </c>
      <c r="AM82">
        <v>457904.25852349098</v>
      </c>
      <c r="AN82" s="6">
        <f t="shared" si="8"/>
        <v>503827.08488128521</v>
      </c>
      <c r="BD82">
        <v>81.739999999999995</v>
      </c>
      <c r="BE82">
        <v>460428.34184739902</v>
      </c>
      <c r="BF82" s="6">
        <f t="shared" si="9"/>
        <v>460295.17974090576</v>
      </c>
    </row>
    <row r="83" spans="20:58" x14ac:dyDescent="0.3">
      <c r="T83">
        <v>75</v>
      </c>
      <c r="U83">
        <v>548825.99432565796</v>
      </c>
      <c r="V83" s="6">
        <f t="shared" si="7"/>
        <v>582491.84158260887</v>
      </c>
      <c r="AL83">
        <v>82.5</v>
      </c>
      <c r="AM83">
        <v>458148.71831401403</v>
      </c>
      <c r="AN83" s="6">
        <f t="shared" si="8"/>
        <v>504131.09678685712</v>
      </c>
      <c r="BD83">
        <v>81.75</v>
      </c>
      <c r="BE83">
        <v>460371.259575581</v>
      </c>
      <c r="BF83" s="6">
        <f t="shared" si="9"/>
        <v>460306.93640240934</v>
      </c>
    </row>
    <row r="84" spans="20:58" x14ac:dyDescent="0.3">
      <c r="T84">
        <v>76</v>
      </c>
      <c r="U84">
        <v>526326.79216567299</v>
      </c>
      <c r="V84" s="6">
        <f t="shared" si="7"/>
        <v>560277.45807375759</v>
      </c>
      <c r="AL84">
        <v>82.6</v>
      </c>
      <c r="AM84">
        <v>458308.350766777</v>
      </c>
      <c r="AN84" s="6">
        <f t="shared" si="8"/>
        <v>504471.67534628091</v>
      </c>
      <c r="BD84">
        <v>81.760000000000005</v>
      </c>
      <c r="BE84">
        <v>460406.68177893898</v>
      </c>
      <c r="BF84" s="6">
        <f t="shared" si="9"/>
        <v>460319.25384470355</v>
      </c>
    </row>
    <row r="85" spans="20:58" x14ac:dyDescent="0.3">
      <c r="T85">
        <v>77</v>
      </c>
      <c r="U85">
        <v>497137.84625148599</v>
      </c>
      <c r="V85" s="6">
        <f t="shared" si="7"/>
        <v>541650.96669055196</v>
      </c>
      <c r="AL85">
        <v>82.7</v>
      </c>
      <c r="AM85">
        <v>458834.49939079903</v>
      </c>
      <c r="AN85" s="6">
        <f t="shared" si="8"/>
        <v>504848.81640971499</v>
      </c>
      <c r="BD85">
        <v>81.77</v>
      </c>
      <c r="BE85">
        <v>460470.98280876997</v>
      </c>
      <c r="BF85" s="6">
        <f t="shared" si="9"/>
        <v>460332.1320662871</v>
      </c>
    </row>
    <row r="86" spans="20:58" x14ac:dyDescent="0.3">
      <c r="T86">
        <v>78</v>
      </c>
      <c r="U86">
        <v>482145.60987756</v>
      </c>
      <c r="V86" s="6">
        <f t="shared" si="7"/>
        <v>526635.06094355183</v>
      </c>
      <c r="AL86">
        <v>82.8</v>
      </c>
      <c r="AM86">
        <v>459001.80809582298</v>
      </c>
      <c r="AN86" s="6">
        <f t="shared" si="8"/>
        <v>505262.51538181305</v>
      </c>
      <c r="BD86">
        <v>81.78</v>
      </c>
      <c r="BE86">
        <v>460112.856619358</v>
      </c>
      <c r="BF86" s="6">
        <f t="shared" si="9"/>
        <v>460345.57106559072</v>
      </c>
    </row>
    <row r="87" spans="20:58" x14ac:dyDescent="0.3">
      <c r="T87">
        <v>79</v>
      </c>
      <c r="U87">
        <v>471121.68121696397</v>
      </c>
      <c r="V87" s="6">
        <f t="shared" si="7"/>
        <v>515248.03540088609</v>
      </c>
      <c r="AL87">
        <v>82.9</v>
      </c>
      <c r="AM87">
        <v>459764.11892162502</v>
      </c>
      <c r="AN87" s="6">
        <f t="shared" si="8"/>
        <v>505712.76722178515</v>
      </c>
      <c r="BD87">
        <v>81.790000000000006</v>
      </c>
      <c r="BE87">
        <v>460361.62642822502</v>
      </c>
      <c r="BF87" s="6">
        <f t="shared" si="9"/>
        <v>460359.57084097899</v>
      </c>
    </row>
    <row r="88" spans="20:58" x14ac:dyDescent="0.3">
      <c r="T88">
        <v>80</v>
      </c>
      <c r="U88">
        <v>463618.10272286797</v>
      </c>
      <c r="V88" s="6">
        <f t="shared" si="7"/>
        <v>507503.76339914184</v>
      </c>
      <c r="AL88">
        <v>83</v>
      </c>
      <c r="AM88">
        <v>460371.61750247999</v>
      </c>
      <c r="AN88" s="6">
        <f t="shared" si="8"/>
        <v>506199.56644345401</v>
      </c>
      <c r="BD88">
        <v>81.8</v>
      </c>
      <c r="BE88">
        <v>460410.66321683599</v>
      </c>
      <c r="BF88" s="6">
        <f t="shared" si="9"/>
        <v>460374.13139074389</v>
      </c>
    </row>
    <row r="89" spans="20:58" x14ac:dyDescent="0.3">
      <c r="T89">
        <v>81</v>
      </c>
      <c r="U89">
        <v>459734.74070674099</v>
      </c>
      <c r="V89" s="6">
        <f t="shared" ref="V89:V98" si="10">$Y$8*COS(2*(RADIANS($Y$9-T89))) + $Y$10</f>
        <v>503411.68014083942</v>
      </c>
      <c r="AL89">
        <v>83.1</v>
      </c>
      <c r="AM89">
        <v>460767.35714135697</v>
      </c>
      <c r="AN89" s="6">
        <f t="shared" si="8"/>
        <v>506722.9071153244</v>
      </c>
      <c r="BD89">
        <v>81.81</v>
      </c>
      <c r="BE89">
        <v>460525.85209797998</v>
      </c>
      <c r="BF89" s="6">
        <f t="shared" si="9"/>
        <v>460389.25271311123</v>
      </c>
    </row>
    <row r="90" spans="20:58" x14ac:dyDescent="0.3">
      <c r="T90">
        <v>82</v>
      </c>
      <c r="U90">
        <v>459152.06090995099</v>
      </c>
      <c r="V90" s="6">
        <f t="shared" si="10"/>
        <v>502976.77119909227</v>
      </c>
      <c r="AL90">
        <v>83.2</v>
      </c>
      <c r="AM90">
        <v>461502.114921453</v>
      </c>
      <c r="AN90" s="6">
        <f t="shared" si="8"/>
        <v>507282.78286065627</v>
      </c>
      <c r="BD90">
        <v>81.819999999999993</v>
      </c>
      <c r="BE90">
        <v>460414.80335430597</v>
      </c>
      <c r="BF90" s="6">
        <f t="shared" si="9"/>
        <v>460404.93480623979</v>
      </c>
    </row>
    <row r="91" spans="20:58" x14ac:dyDescent="0.3">
      <c r="T91">
        <v>83</v>
      </c>
      <c r="U91">
        <v>461204.94126586401</v>
      </c>
      <c r="V91" s="6">
        <f t="shared" si="10"/>
        <v>506199.56644345401</v>
      </c>
      <c r="AL91">
        <v>83.3</v>
      </c>
      <c r="AM91">
        <v>462094.95004169899</v>
      </c>
      <c r="AN91" s="6">
        <f t="shared" si="8"/>
        <v>507879.18685753969</v>
      </c>
      <c r="BD91">
        <v>81.83</v>
      </c>
      <c r="BE91">
        <v>460396.578539307</v>
      </c>
      <c r="BF91" s="6">
        <f t="shared" si="9"/>
        <v>460421.17766821757</v>
      </c>
    </row>
    <row r="92" spans="20:58" x14ac:dyDescent="0.3">
      <c r="T92">
        <v>84</v>
      </c>
      <c r="U92">
        <v>469727.20317057701</v>
      </c>
      <c r="V92" s="6">
        <f t="shared" si="10"/>
        <v>513076.13939435128</v>
      </c>
      <c r="AL92">
        <v>83.4</v>
      </c>
      <c r="AM92">
        <v>462923.57977467898</v>
      </c>
      <c r="AN92" s="6">
        <f t="shared" si="8"/>
        <v>508512.11183898058</v>
      </c>
      <c r="BD92">
        <v>81.84</v>
      </c>
      <c r="BE92">
        <v>460349.145131681</v>
      </c>
      <c r="BF92" s="6">
        <f t="shared" si="9"/>
        <v>460437.98129706644</v>
      </c>
    </row>
    <row r="93" spans="20:58" x14ac:dyDescent="0.3">
      <c r="T93">
        <v>85</v>
      </c>
      <c r="U93">
        <v>480576.00827462098</v>
      </c>
      <c r="V93" s="6">
        <f t="shared" si="10"/>
        <v>523598.1120068999</v>
      </c>
      <c r="AL93">
        <v>83.5</v>
      </c>
      <c r="AM93">
        <v>463501.66836120299</v>
      </c>
      <c r="AN93" s="6">
        <f t="shared" si="8"/>
        <v>509181.55009298725</v>
      </c>
      <c r="BD93">
        <v>81.849999999999994</v>
      </c>
      <c r="BE93">
        <v>460530.10154460202</v>
      </c>
      <c r="BF93" s="6">
        <f t="shared" si="9"/>
        <v>460455.34569073841</v>
      </c>
    </row>
    <row r="94" spans="20:58" x14ac:dyDescent="0.3">
      <c r="T94">
        <v>86</v>
      </c>
      <c r="U94">
        <v>495175.052088372</v>
      </c>
      <c r="V94" s="6">
        <f t="shared" si="10"/>
        <v>537752.66487825569</v>
      </c>
      <c r="AL94">
        <v>83.6</v>
      </c>
      <c r="AM94">
        <v>464112.15247686801</v>
      </c>
      <c r="AN94" s="6">
        <f t="shared" si="8"/>
        <v>509887.4934626664</v>
      </c>
      <c r="BD94">
        <v>81.86</v>
      </c>
      <c r="BE94">
        <v>460494.92152690602</v>
      </c>
      <c r="BF94" s="6">
        <f t="shared" si="9"/>
        <v>460473.27084711753</v>
      </c>
    </row>
    <row r="95" spans="20:58" x14ac:dyDescent="0.3">
      <c r="T95">
        <v>87</v>
      </c>
      <c r="U95">
        <v>514113.32464918698</v>
      </c>
      <c r="V95" s="6">
        <f t="shared" si="10"/>
        <v>555522.55286608776</v>
      </c>
      <c r="AL95">
        <v>83.7</v>
      </c>
      <c r="AM95">
        <v>465274.78421671502</v>
      </c>
      <c r="AN95" s="6">
        <f t="shared" si="8"/>
        <v>510629.93334632087</v>
      </c>
      <c r="BD95">
        <v>81.87</v>
      </c>
      <c r="BE95">
        <v>460725.91027662897</v>
      </c>
      <c r="BF95" s="6">
        <f t="shared" si="9"/>
        <v>460491.75676402077</v>
      </c>
    </row>
    <row r="96" spans="20:58" x14ac:dyDescent="0.3">
      <c r="T96">
        <v>88</v>
      </c>
      <c r="U96">
        <v>536017.88400227402</v>
      </c>
      <c r="V96" s="6">
        <f t="shared" si="10"/>
        <v>576886.12609912409</v>
      </c>
      <c r="AL96">
        <v>83.8</v>
      </c>
      <c r="AM96">
        <v>465988.88795036002</v>
      </c>
      <c r="AN96" s="6">
        <f t="shared" si="8"/>
        <v>511408.86069755442</v>
      </c>
      <c r="BD96">
        <v>81.88</v>
      </c>
      <c r="BE96">
        <v>460487.08311174699</v>
      </c>
      <c r="BF96" s="6">
        <f t="shared" si="9"/>
        <v>460510.80343919434</v>
      </c>
    </row>
    <row r="97" spans="20:58" x14ac:dyDescent="0.3">
      <c r="T97">
        <v>89</v>
      </c>
      <c r="U97">
        <v>561352.55501457199</v>
      </c>
      <c r="V97" s="6">
        <f t="shared" si="10"/>
        <v>601817.35635418538</v>
      </c>
      <c r="AL97">
        <v>83.9</v>
      </c>
      <c r="AM97">
        <v>466997.23473600199</v>
      </c>
      <c r="AN97" s="6">
        <f t="shared" si="8"/>
        <v>512224.26602538349</v>
      </c>
      <c r="BD97">
        <v>81.89</v>
      </c>
      <c r="BE97">
        <v>460569.22629494499</v>
      </c>
      <c r="BF97" s="6">
        <f t="shared" si="9"/>
        <v>460530.41087031737</v>
      </c>
    </row>
    <row r="98" spans="20:58" x14ac:dyDescent="0.3">
      <c r="T98">
        <v>90</v>
      </c>
      <c r="U98">
        <v>590553.65828052699</v>
      </c>
      <c r="V98" s="6">
        <f t="shared" si="10"/>
        <v>630285.86876756931</v>
      </c>
      <c r="AL98">
        <v>84</v>
      </c>
      <c r="AM98">
        <v>467937.60199345398</v>
      </c>
      <c r="AN98" s="6">
        <f t="shared" si="8"/>
        <v>513076.13939435128</v>
      </c>
      <c r="BD98">
        <v>81.900000000000006</v>
      </c>
      <c r="BE98">
        <v>460534.18951418798</v>
      </c>
      <c r="BF98" s="6">
        <f t="shared" si="9"/>
        <v>460550.57905500196</v>
      </c>
    </row>
    <row r="99" spans="20:58" x14ac:dyDescent="0.3">
      <c r="T99">
        <v>91</v>
      </c>
      <c r="U99">
        <v>622982.98549720203</v>
      </c>
      <c r="V99" s="6">
        <f t="shared" ref="V99:V130" si="11">$Y$8*COS(2*(RADIANS($Y$9-T99))) + $Y$10</f>
        <v>662256.97884213692</v>
      </c>
      <c r="AL99">
        <v>84.1</v>
      </c>
      <c r="AM99">
        <v>468960.42600745702</v>
      </c>
      <c r="AN99" s="6">
        <f t="shared" si="8"/>
        <v>513964.47042464977</v>
      </c>
      <c r="BD99">
        <v>81.91</v>
      </c>
      <c r="BE99">
        <v>460684.04774532298</v>
      </c>
      <c r="BF99" s="6">
        <f t="shared" si="9"/>
        <v>460571.30799078941</v>
      </c>
    </row>
    <row r="100" spans="20:58" x14ac:dyDescent="0.3">
      <c r="T100">
        <v>92</v>
      </c>
      <c r="U100">
        <v>658953.50838223996</v>
      </c>
      <c r="V100" s="6">
        <f t="shared" si="11"/>
        <v>697691.73470503464</v>
      </c>
      <c r="AL100">
        <v>84.2</v>
      </c>
      <c r="AM100">
        <v>470013.54291817901</v>
      </c>
      <c r="AN100" s="6">
        <f t="shared" si="8"/>
        <v>514889.2482922459</v>
      </c>
      <c r="BD100">
        <v>81.92</v>
      </c>
      <c r="BE100">
        <v>460556.16847426898</v>
      </c>
      <c r="BF100" s="6">
        <f t="shared" si="9"/>
        <v>460592.59767515585</v>
      </c>
    </row>
    <row r="101" spans="20:58" x14ac:dyDescent="0.3">
      <c r="T101">
        <v>93</v>
      </c>
      <c r="U101">
        <v>698886.95621547406</v>
      </c>
      <c r="V101" s="6">
        <f t="shared" si="11"/>
        <v>736546.96456454927</v>
      </c>
      <c r="AL101">
        <v>84.3</v>
      </c>
      <c r="AM101">
        <v>470889.29804945597</v>
      </c>
      <c r="AN101" s="6">
        <f t="shared" si="8"/>
        <v>515850.4617290129</v>
      </c>
      <c r="BD101">
        <v>81.93</v>
      </c>
      <c r="BE101">
        <v>460474.288274116</v>
      </c>
      <c r="BF101" s="6">
        <f t="shared" si="9"/>
        <v>460614.44810550474</v>
      </c>
    </row>
    <row r="102" spans="20:58" x14ac:dyDescent="0.3">
      <c r="T102">
        <v>94</v>
      </c>
      <c r="U102">
        <v>742081.79716403503</v>
      </c>
      <c r="V102" s="6">
        <f t="shared" si="11"/>
        <v>778775.32930828677</v>
      </c>
      <c r="AL102">
        <v>84.4</v>
      </c>
      <c r="AM102">
        <v>471544.72429543501</v>
      </c>
      <c r="AN102" s="6">
        <f t="shared" si="8"/>
        <v>516848.09902286809</v>
      </c>
      <c r="BD102">
        <v>81.94</v>
      </c>
      <c r="BE102">
        <v>460418.140116936</v>
      </c>
      <c r="BF102" s="6">
        <f t="shared" si="9"/>
        <v>460636.85927917529</v>
      </c>
    </row>
    <row r="103" spans="20:58" x14ac:dyDescent="0.3">
      <c r="T103">
        <v>95</v>
      </c>
      <c r="U103">
        <v>787675.85971458699</v>
      </c>
      <c r="V103" s="6">
        <f t="shared" si="11"/>
        <v>824325.38017858705</v>
      </c>
      <c r="AL103">
        <v>84.5</v>
      </c>
      <c r="AM103">
        <v>472986.493533817</v>
      </c>
      <c r="AN103" s="6">
        <f t="shared" si="8"/>
        <v>517882.14801791683</v>
      </c>
      <c r="BD103">
        <v>81.95</v>
      </c>
      <c r="BE103">
        <v>460704.72223913402</v>
      </c>
      <c r="BF103" s="6">
        <f t="shared" si="9"/>
        <v>460659.83119343594</v>
      </c>
    </row>
    <row r="104" spans="20:58" x14ac:dyDescent="0.3">
      <c r="T104">
        <v>96</v>
      </c>
      <c r="U104">
        <v>837420.64251236804</v>
      </c>
      <c r="V104" s="6">
        <f t="shared" si="11"/>
        <v>873141.6214549127</v>
      </c>
      <c r="AL104">
        <v>84.6</v>
      </c>
      <c r="AM104">
        <v>473874.21044074302</v>
      </c>
      <c r="AN104" s="6">
        <f t="shared" ref="AN104:AN135" si="12">$AQ$8*COS(2*(RADIANS($AQ$9-AL104))) + $AQ$10</f>
        <v>518952.59611459728</v>
      </c>
      <c r="BD104">
        <v>81.96</v>
      </c>
      <c r="BE104">
        <v>460492.29139778001</v>
      </c>
      <c r="BF104" s="6">
        <f t="shared" si="9"/>
        <v>460683.36384548806</v>
      </c>
    </row>
    <row r="105" spans="20:58" x14ac:dyDescent="0.3">
      <c r="T105">
        <v>97</v>
      </c>
      <c r="U105">
        <v>890158.78452953103</v>
      </c>
      <c r="V105" s="6">
        <f t="shared" si="11"/>
        <v>925164.57806683378</v>
      </c>
      <c r="AL105">
        <v>84.7</v>
      </c>
      <c r="AM105">
        <v>475024.71741660498</v>
      </c>
      <c r="AN105" s="6">
        <f t="shared" si="12"/>
        <v>520059.43026983831</v>
      </c>
      <c r="BD105">
        <v>81.97</v>
      </c>
      <c r="BE105">
        <v>460698.94894138398</v>
      </c>
      <c r="BF105" s="6">
        <f t="shared" si="9"/>
        <v>460707.45723246504</v>
      </c>
    </row>
    <row r="106" spans="20:58" x14ac:dyDescent="0.3">
      <c r="T106">
        <v>98</v>
      </c>
      <c r="U106">
        <v>945300.88234494405</v>
      </c>
      <c r="V106" s="6">
        <f t="shared" si="11"/>
        <v>980330.86805524072</v>
      </c>
      <c r="AL106">
        <v>84.8</v>
      </c>
      <c r="AM106">
        <v>476339.36859944399</v>
      </c>
      <c r="AN106" s="6">
        <f t="shared" si="12"/>
        <v>521202.63699721359</v>
      </c>
      <c r="BD106">
        <v>81.98</v>
      </c>
      <c r="BE106">
        <v>460554.37447840802</v>
      </c>
      <c r="BF106" s="6">
        <f t="shared" si="9"/>
        <v>460732.11135143042</v>
      </c>
    </row>
    <row r="107" spans="20:58" x14ac:dyDescent="0.3">
      <c r="T107">
        <v>99</v>
      </c>
      <c r="U107">
        <v>1004676.0216936</v>
      </c>
      <c r="V107" s="6">
        <f t="shared" si="11"/>
        <v>1038573.2797934986</v>
      </c>
      <c r="AL107">
        <v>84.9</v>
      </c>
      <c r="AM107">
        <v>477468.36106082599</v>
      </c>
      <c r="AN107" s="6">
        <f t="shared" si="12"/>
        <v>522382.20236711204</v>
      </c>
      <c r="BD107">
        <v>81.99</v>
      </c>
      <c r="BE107">
        <v>460544.35725497402</v>
      </c>
      <c r="BF107" s="6">
        <f t="shared" si="9"/>
        <v>460757.32619937975</v>
      </c>
    </row>
    <row r="108" spans="20:58" x14ac:dyDescent="0.3">
      <c r="T108">
        <v>100</v>
      </c>
      <c r="U108">
        <v>1066736.7197455801</v>
      </c>
      <c r="V108" s="6">
        <f t="shared" si="11"/>
        <v>1099820.8538744599</v>
      </c>
      <c r="AL108">
        <v>85</v>
      </c>
      <c r="AM108">
        <v>478698.71558693901</v>
      </c>
      <c r="AN108" s="6">
        <f t="shared" si="12"/>
        <v>523598.1120068999</v>
      </c>
      <c r="BD108">
        <v>82</v>
      </c>
      <c r="BE108">
        <v>460481.33914447</v>
      </c>
      <c r="BF108" s="6">
        <f t="shared" si="9"/>
        <v>460783.1017732406</v>
      </c>
    </row>
    <row r="109" spans="20:58" x14ac:dyDescent="0.3">
      <c r="T109">
        <v>101</v>
      </c>
      <c r="U109">
        <v>1130598.9766722601</v>
      </c>
      <c r="V109" s="6">
        <f t="shared" si="11"/>
        <v>1163998.9695635727</v>
      </c>
      <c r="AN109" s="6"/>
    </row>
    <row r="110" spans="20:58" x14ac:dyDescent="0.3">
      <c r="T110">
        <v>102</v>
      </c>
      <c r="U110">
        <v>1198862.0381873399</v>
      </c>
      <c r="V110" s="6">
        <f t="shared" si="11"/>
        <v>1231029.4357127496</v>
      </c>
      <c r="AN110" s="6"/>
    </row>
    <row r="111" spans="20:58" x14ac:dyDescent="0.3">
      <c r="T111">
        <v>103</v>
      </c>
      <c r="U111">
        <v>1269567.61693254</v>
      </c>
      <c r="V111" s="6">
        <f t="shared" si="11"/>
        <v>1300830.5860242415</v>
      </c>
      <c r="AN111" s="6"/>
    </row>
    <row r="112" spans="20:58" x14ac:dyDescent="0.3">
      <c r="T112">
        <v>104</v>
      </c>
      <c r="U112">
        <v>1341828.4615187701</v>
      </c>
      <c r="V112" s="6">
        <f t="shared" si="11"/>
        <v>1373317.3785484354</v>
      </c>
      <c r="AN112" s="6"/>
    </row>
    <row r="113" spans="20:40" x14ac:dyDescent="0.3">
      <c r="T113">
        <v>105</v>
      </c>
      <c r="U113">
        <v>1418067.6950358199</v>
      </c>
      <c r="V113" s="6">
        <f t="shared" si="11"/>
        <v>1448401.4992943751</v>
      </c>
      <c r="AN113" s="6"/>
    </row>
    <row r="114" spans="20:40" x14ac:dyDescent="0.3">
      <c r="T114">
        <v>106</v>
      </c>
      <c r="U114">
        <v>1497463.37406052</v>
      </c>
      <c r="V114" s="6">
        <f t="shared" si="11"/>
        <v>1525991.4698267542</v>
      </c>
      <c r="AN114" s="6"/>
    </row>
    <row r="115" spans="20:40" x14ac:dyDescent="0.3">
      <c r="T115">
        <v>107</v>
      </c>
      <c r="U115">
        <v>1576555.49542832</v>
      </c>
      <c r="V115" s="6">
        <f t="shared" si="11"/>
        <v>1605992.7587182976</v>
      </c>
      <c r="AN115" s="6"/>
    </row>
    <row r="116" spans="20:40" x14ac:dyDescent="0.3">
      <c r="T116">
        <v>108</v>
      </c>
      <c r="U116">
        <v>1660647.3144811001</v>
      </c>
      <c r="V116" s="6">
        <f t="shared" si="11"/>
        <v>1688307.8967217451</v>
      </c>
      <c r="AN116" s="6"/>
    </row>
    <row r="117" spans="20:40" x14ac:dyDescent="0.3">
      <c r="T117">
        <v>109</v>
      </c>
      <c r="U117">
        <v>1746444.22088289</v>
      </c>
      <c r="V117" s="6">
        <f t="shared" si="11"/>
        <v>1772836.5955211138</v>
      </c>
      <c r="AN117" s="6"/>
    </row>
    <row r="118" spans="20:40" x14ac:dyDescent="0.3">
      <c r="T118">
        <v>110</v>
      </c>
      <c r="U118">
        <v>1832872.10764112</v>
      </c>
      <c r="V118" s="6">
        <f t="shared" si="11"/>
        <v>1859475.8699175657</v>
      </c>
      <c r="AN118" s="6"/>
    </row>
    <row r="119" spans="20:40" x14ac:dyDescent="0.3">
      <c r="T119">
        <v>111</v>
      </c>
      <c r="U119">
        <v>1923890.1564020501</v>
      </c>
      <c r="V119" s="6">
        <f t="shared" si="11"/>
        <v>1948120.163301005</v>
      </c>
      <c r="AN119" s="6"/>
    </row>
    <row r="120" spans="20:40" x14ac:dyDescent="0.3">
      <c r="T120">
        <v>112</v>
      </c>
      <c r="U120">
        <v>2014855.2032284399</v>
      </c>
      <c r="V120" s="6">
        <f t="shared" si="11"/>
        <v>2038661.4762545507</v>
      </c>
      <c r="AN120" s="6"/>
    </row>
    <row r="121" spans="20:40" x14ac:dyDescent="0.3">
      <c r="T121">
        <v>113</v>
      </c>
      <c r="U121">
        <v>2108317.3736755298</v>
      </c>
      <c r="V121" s="6">
        <f t="shared" si="11"/>
        <v>2130989.4981351886</v>
      </c>
      <c r="AN121" s="6"/>
    </row>
    <row r="122" spans="20:40" x14ac:dyDescent="0.3">
      <c r="T122">
        <v>114</v>
      </c>
      <c r="U122">
        <v>2206919.7314865398</v>
      </c>
      <c r="V122" s="6">
        <f t="shared" si="11"/>
        <v>2224991.7414702997</v>
      </c>
      <c r="AN122" s="6"/>
    </row>
    <row r="123" spans="20:40" x14ac:dyDescent="0.3">
      <c r="T123">
        <v>115</v>
      </c>
      <c r="U123">
        <v>2305569.6070538298</v>
      </c>
      <c r="V123" s="6">
        <f t="shared" si="11"/>
        <v>2320553.6790063148</v>
      </c>
      <c r="AN123" s="6"/>
    </row>
    <row r="124" spans="20:40" x14ac:dyDescent="0.3">
      <c r="T124">
        <v>116</v>
      </c>
      <c r="U124">
        <v>2403346.0430188598</v>
      </c>
      <c r="V124" s="6">
        <f t="shared" si="11"/>
        <v>2417558.8832425354</v>
      </c>
      <c r="AN124" s="6"/>
    </row>
    <row r="125" spans="20:40" x14ac:dyDescent="0.3">
      <c r="T125">
        <v>117</v>
      </c>
      <c r="U125">
        <v>2505962.4189452501</v>
      </c>
      <c r="V125" s="6">
        <f t="shared" si="11"/>
        <v>2515889.1682801037</v>
      </c>
      <c r="AN125" s="6"/>
    </row>
    <row r="126" spans="20:40" x14ac:dyDescent="0.3">
      <c r="T126">
        <v>118</v>
      </c>
      <c r="U126">
        <v>2610311.41888934</v>
      </c>
      <c r="V126" s="6">
        <f t="shared" si="11"/>
        <v>2615424.7338133231</v>
      </c>
      <c r="AN126" s="6"/>
    </row>
    <row r="127" spans="20:40" x14ac:dyDescent="0.3">
      <c r="T127">
        <v>119</v>
      </c>
      <c r="U127">
        <v>2709663.8365330701</v>
      </c>
      <c r="V127" s="6">
        <f t="shared" si="11"/>
        <v>2716044.3110878691</v>
      </c>
      <c r="AN127" s="6"/>
    </row>
    <row r="128" spans="20:40" x14ac:dyDescent="0.3">
      <c r="T128">
        <v>120</v>
      </c>
      <c r="U128">
        <v>2814220.27329048</v>
      </c>
      <c r="V128" s="6">
        <f t="shared" si="11"/>
        <v>2817625.3106480902</v>
      </c>
      <c r="AN128" s="6"/>
    </row>
    <row r="129" spans="20:40" x14ac:dyDescent="0.3">
      <c r="T129">
        <v>121</v>
      </c>
      <c r="U129">
        <v>2919147.2330290098</v>
      </c>
      <c r="V129" s="6">
        <f t="shared" si="11"/>
        <v>2920043.9716933751</v>
      </c>
      <c r="AN129" s="6"/>
    </row>
    <row r="130" spans="20:40" x14ac:dyDescent="0.3">
      <c r="T130">
        <v>122</v>
      </c>
      <c r="U130">
        <v>3020544.9039837299</v>
      </c>
      <c r="V130" s="6">
        <f t="shared" si="11"/>
        <v>3023175.5128616262</v>
      </c>
      <c r="AN130" s="6"/>
    </row>
    <row r="131" spans="20:40" x14ac:dyDescent="0.3">
      <c r="T131">
        <v>123</v>
      </c>
      <c r="U131">
        <v>3127335.2120572901</v>
      </c>
      <c r="V131" s="6">
        <f t="shared" ref="V131:V162" si="13">$Y$8*COS(2*(RADIANS($Y$9-T131))) + $Y$10</f>
        <v>3126894.2842561258</v>
      </c>
      <c r="AN131" s="6"/>
    </row>
    <row r="132" spans="20:40" x14ac:dyDescent="0.3">
      <c r="T132">
        <v>124</v>
      </c>
      <c r="U132">
        <v>3144360.08420903</v>
      </c>
      <c r="V132" s="6">
        <f t="shared" si="13"/>
        <v>3231073.9205305823</v>
      </c>
      <c r="AN132" s="6"/>
    </row>
    <row r="133" spans="20:40" x14ac:dyDescent="0.3">
      <c r="T133">
        <v>125</v>
      </c>
      <c r="U133">
        <v>3351563.7395572802</v>
      </c>
      <c r="V133" s="6">
        <f t="shared" si="13"/>
        <v>3335587.4948458378</v>
      </c>
      <c r="AN133" s="6"/>
    </row>
    <row r="134" spans="20:40" x14ac:dyDescent="0.3">
      <c r="T134">
        <v>126</v>
      </c>
      <c r="U134">
        <v>3470599.8481085901</v>
      </c>
      <c r="V134" s="6">
        <f t="shared" si="13"/>
        <v>3440307.6735106697</v>
      </c>
      <c r="AN134" s="6"/>
    </row>
    <row r="135" spans="20:40" x14ac:dyDescent="0.3">
      <c r="T135">
        <v>127</v>
      </c>
      <c r="U135">
        <v>3563431.23918215</v>
      </c>
      <c r="V135" s="6">
        <f t="shared" si="13"/>
        <v>3545106.8711182838</v>
      </c>
      <c r="AN135" s="6"/>
    </row>
    <row r="136" spans="20:40" x14ac:dyDescent="0.3">
      <c r="T136">
        <v>128</v>
      </c>
      <c r="U136">
        <v>3684689.1003434602</v>
      </c>
      <c r="V136" s="6">
        <f t="shared" si="13"/>
        <v>3649857.4059894732</v>
      </c>
      <c r="AN136" s="6"/>
    </row>
    <row r="137" spans="20:40" x14ac:dyDescent="0.3">
      <c r="T137">
        <v>129</v>
      </c>
      <c r="U137">
        <v>3828373.83311341</v>
      </c>
      <c r="V137" s="6">
        <f t="shared" si="13"/>
        <v>3754431.6557330806</v>
      </c>
      <c r="AN137" s="6"/>
    </row>
    <row r="138" spans="20:40" x14ac:dyDescent="0.3">
      <c r="T138">
        <v>130</v>
      </c>
      <c r="U138">
        <v>3948618.3293141001</v>
      </c>
      <c r="V138" s="6">
        <f t="shared" si="13"/>
        <v>3858702.2127342215</v>
      </c>
      <c r="AN138" s="6"/>
    </row>
    <row r="139" spans="20:40" x14ac:dyDescent="0.3">
      <c r="T139">
        <v>131</v>
      </c>
      <c r="U139">
        <v>4053916.6597484099</v>
      </c>
      <c r="V139" s="6">
        <f t="shared" si="13"/>
        <v>3962542.0393808372</v>
      </c>
      <c r="AN139" s="6"/>
    </row>
    <row r="140" spans="20:40" x14ac:dyDescent="0.3">
      <c r="T140">
        <v>132</v>
      </c>
      <c r="U140">
        <v>4162456.7045541499</v>
      </c>
      <c r="V140" s="6">
        <f t="shared" si="13"/>
        <v>4065824.6228394592</v>
      </c>
      <c r="AN140" s="6"/>
    </row>
    <row r="141" spans="20:40" x14ac:dyDescent="0.3">
      <c r="T141">
        <v>133</v>
      </c>
      <c r="U141">
        <v>3973935.2962804898</v>
      </c>
      <c r="V141" s="6">
        <f t="shared" si="13"/>
        <v>4168424.1291916054</v>
      </c>
      <c r="AN141" s="6"/>
    </row>
    <row r="142" spans="20:40" x14ac:dyDescent="0.3">
      <c r="T142">
        <v>134</v>
      </c>
      <c r="U142">
        <v>4314360.37795032</v>
      </c>
      <c r="V142" s="6">
        <f t="shared" si="13"/>
        <v>4270215.5567430276</v>
      </c>
      <c r="AN142" s="6"/>
    </row>
    <row r="143" spans="20:40" x14ac:dyDescent="0.3">
      <c r="T143">
        <v>135</v>
      </c>
      <c r="U143">
        <v>4431989.2969467696</v>
      </c>
      <c r="V143" s="6">
        <f t="shared" si="13"/>
        <v>4371074.888319022</v>
      </c>
      <c r="AN143" s="6"/>
    </row>
    <row r="144" spans="20:40" x14ac:dyDescent="0.3">
      <c r="T144">
        <v>136</v>
      </c>
      <c r="U144">
        <v>4415098.4417532301</v>
      </c>
      <c r="V144" s="6">
        <f t="shared" si="13"/>
        <v>4470879.242360252</v>
      </c>
      <c r="AN144" s="6"/>
    </row>
    <row r="145" spans="20:40" x14ac:dyDescent="0.3">
      <c r="T145">
        <v>137</v>
      </c>
      <c r="U145">
        <v>4607395.5975115197</v>
      </c>
      <c r="V145" s="6">
        <f t="shared" si="13"/>
        <v>4569507.0226350008</v>
      </c>
      <c r="AN145" s="6"/>
    </row>
    <row r="146" spans="20:40" x14ac:dyDescent="0.3">
      <c r="T146">
        <v>138</v>
      </c>
      <c r="U146">
        <v>4751494.8391605001</v>
      </c>
      <c r="V146" s="6">
        <f t="shared" si="13"/>
        <v>4666838.0663854489</v>
      </c>
      <c r="AN146" s="6"/>
    </row>
    <row r="147" spans="20:40" x14ac:dyDescent="0.3">
      <c r="T147">
        <v>139</v>
      </c>
      <c r="U147">
        <v>4805800.8578080796</v>
      </c>
      <c r="V147" s="6">
        <f t="shared" si="13"/>
        <v>4762753.790727484</v>
      </c>
      <c r="AN147" s="6"/>
    </row>
    <row r="148" spans="20:40" x14ac:dyDescent="0.3">
      <c r="T148">
        <v>140</v>
      </c>
      <c r="U148">
        <v>4900095.2696738103</v>
      </c>
      <c r="V148" s="6">
        <f t="shared" si="13"/>
        <v>4857137.3371256795</v>
      </c>
      <c r="AN148" s="6"/>
    </row>
    <row r="149" spans="20:40" x14ac:dyDescent="0.3">
      <c r="T149">
        <v>141</v>
      </c>
      <c r="U149">
        <v>4995430.74210029</v>
      </c>
      <c r="V149" s="6">
        <f t="shared" si="13"/>
        <v>4949873.7137674214</v>
      </c>
      <c r="AN149" s="6"/>
    </row>
    <row r="150" spans="20:40" x14ac:dyDescent="0.3">
      <c r="T150">
        <v>142</v>
      </c>
      <c r="U150">
        <v>5086730.9486967698</v>
      </c>
      <c r="V150" s="6">
        <f t="shared" si="13"/>
        <v>5040849.9356627129</v>
      </c>
      <c r="AN150" s="6"/>
    </row>
    <row r="151" spans="20:40" x14ac:dyDescent="0.3">
      <c r="T151">
        <v>143</v>
      </c>
      <c r="U151">
        <v>5174299.5985623198</v>
      </c>
      <c r="V151" s="6">
        <f t="shared" si="13"/>
        <v>5129955.1622989895</v>
      </c>
      <c r="AN151" s="6"/>
    </row>
    <row r="152" spans="20:40" x14ac:dyDescent="0.3">
      <c r="T152">
        <v>144</v>
      </c>
      <c r="U152">
        <v>5262120.8924933001</v>
      </c>
      <c r="V152" s="6">
        <f t="shared" si="13"/>
        <v>5217080.8326832037</v>
      </c>
      <c r="AN152" s="6"/>
    </row>
    <row r="153" spans="20:40" x14ac:dyDescent="0.3">
      <c r="T153">
        <v>145</v>
      </c>
      <c r="U153">
        <v>5347904.4115132997</v>
      </c>
      <c r="V153" s="6">
        <f t="shared" si="13"/>
        <v>5302120.7976066703</v>
      </c>
      <c r="AN153" s="6"/>
    </row>
    <row r="154" spans="20:40" x14ac:dyDescent="0.3">
      <c r="T154">
        <v>146</v>
      </c>
      <c r="U154">
        <v>5427425.2034219299</v>
      </c>
      <c r="V154" s="6">
        <f t="shared" si="13"/>
        <v>5384971.4489715341</v>
      </c>
      <c r="AN154" s="6"/>
    </row>
    <row r="155" spans="20:40" x14ac:dyDescent="0.3">
      <c r="T155">
        <v>147</v>
      </c>
      <c r="U155">
        <v>5508874.8418706805</v>
      </c>
      <c r="V155" s="6">
        <f t="shared" si="13"/>
        <v>5465531.8460212722</v>
      </c>
      <c r="AN155" s="6"/>
    </row>
    <row r="156" spans="20:40" x14ac:dyDescent="0.3">
      <c r="T156">
        <v>148</v>
      </c>
      <c r="U156">
        <v>5587137.4637695998</v>
      </c>
      <c r="V156" s="6">
        <f t="shared" si="13"/>
        <v>5543703.8383214548</v>
      </c>
      <c r="AN156" s="6"/>
    </row>
    <row r="157" spans="20:40" x14ac:dyDescent="0.3">
      <c r="T157">
        <v>149</v>
      </c>
      <c r="U157">
        <v>5661840.3514130097</v>
      </c>
      <c r="V157" s="6">
        <f t="shared" si="13"/>
        <v>5619392.1853409391</v>
      </c>
      <c r="AN157" s="6"/>
    </row>
    <row r="158" spans="20:40" x14ac:dyDescent="0.3">
      <c r="T158">
        <v>150</v>
      </c>
      <c r="U158">
        <v>5736139.3815013804</v>
      </c>
      <c r="V158" s="6">
        <f t="shared" si="13"/>
        <v>5692504.6724877767</v>
      </c>
      <c r="AN158" s="6"/>
    </row>
    <row r="159" spans="20:40" x14ac:dyDescent="0.3">
      <c r="T159">
        <v>151</v>
      </c>
      <c r="U159">
        <v>5809298.6582490196</v>
      </c>
      <c r="V159" s="6">
        <f t="shared" si="13"/>
        <v>5762952.2234584941</v>
      </c>
      <c r="AN159" s="6"/>
    </row>
    <row r="160" spans="20:40" x14ac:dyDescent="0.3">
      <c r="T160">
        <v>152</v>
      </c>
      <c r="U160">
        <v>5877195.94434347</v>
      </c>
      <c r="V160" s="6">
        <f t="shared" si="13"/>
        <v>5830649.0087638469</v>
      </c>
      <c r="AN160" s="6"/>
    </row>
    <row r="161" spans="20:40" x14ac:dyDescent="0.3">
      <c r="T161">
        <v>153</v>
      </c>
      <c r="U161">
        <v>5944193.4500604002</v>
      </c>
      <c r="V161" s="6">
        <f t="shared" si="13"/>
        <v>5895512.5502988324</v>
      </c>
      <c r="AN161" s="6"/>
    </row>
    <row r="162" spans="20:40" x14ac:dyDescent="0.3">
      <c r="T162">
        <v>154</v>
      </c>
      <c r="U162">
        <v>6006878.4527034396</v>
      </c>
      <c r="V162" s="6">
        <f t="shared" si="13"/>
        <v>5957463.8218295518</v>
      </c>
      <c r="AN162" s="6"/>
    </row>
    <row r="163" spans="20:40" x14ac:dyDescent="0.3">
      <c r="T163">
        <v>155</v>
      </c>
      <c r="U163">
        <v>6065388.0239858301</v>
      </c>
      <c r="V163" s="6">
        <f t="shared" ref="V163:V188" si="14">$Y$8*COS(2*(RADIANS($Y$9-T163))) + $Y$10</f>
        <v>6016427.3452745061</v>
      </c>
      <c r="AN163" s="6"/>
    </row>
    <row r="164" spans="20:40" x14ac:dyDescent="0.3">
      <c r="T164">
        <v>156</v>
      </c>
      <c r="U164">
        <v>6087065.0303439097</v>
      </c>
      <c r="V164" s="6">
        <f t="shared" si="14"/>
        <v>6072331.2826630129</v>
      </c>
      <c r="AN164" s="6"/>
    </row>
    <row r="165" spans="20:40" x14ac:dyDescent="0.3">
      <c r="T165">
        <v>157</v>
      </c>
      <c r="U165">
        <v>6060171.4092645999</v>
      </c>
      <c r="V165" s="6">
        <f t="shared" si="14"/>
        <v>6125107.5236587059</v>
      </c>
      <c r="AN165" s="6"/>
    </row>
    <row r="166" spans="20:40" x14ac:dyDescent="0.3">
      <c r="T166">
        <v>158</v>
      </c>
      <c r="U166">
        <v>6109544.4845944</v>
      </c>
      <c r="V166" s="6">
        <f t="shared" si="14"/>
        <v>6174691.7685414879</v>
      </c>
      <c r="AN166" s="6"/>
    </row>
    <row r="167" spans="20:40" x14ac:dyDescent="0.3">
      <c r="T167">
        <v>159</v>
      </c>
      <c r="U167">
        <v>6156704.7907738099</v>
      </c>
      <c r="V167" s="6">
        <f t="shared" si="14"/>
        <v>6221023.6065468378</v>
      </c>
      <c r="AN167" s="6"/>
    </row>
    <row r="168" spans="20:40" x14ac:dyDescent="0.3">
      <c r="T168">
        <v>160</v>
      </c>
      <c r="U168">
        <v>6199897.6956430096</v>
      </c>
      <c r="V168" s="6">
        <f t="shared" si="14"/>
        <v>6264046.589467017</v>
      </c>
      <c r="AN168" s="6"/>
    </row>
    <row r="169" spans="20:40" x14ac:dyDescent="0.3">
      <c r="T169">
        <v>161</v>
      </c>
      <c r="U169">
        <v>6238776.7526277704</v>
      </c>
      <c r="V169" s="6">
        <f t="shared" si="14"/>
        <v>6303708.3004245199</v>
      </c>
      <c r="AN169" s="6"/>
    </row>
    <row r="170" spans="20:40" x14ac:dyDescent="0.3">
      <c r="T170">
        <v>162</v>
      </c>
      <c r="U170">
        <v>6272377.2174524004</v>
      </c>
      <c r="V170" s="6">
        <f t="shared" si="14"/>
        <v>6339960.4177339654</v>
      </c>
      <c r="AN170" s="6"/>
    </row>
    <row r="171" spans="20:40" x14ac:dyDescent="0.3">
      <c r="T171">
        <v>163</v>
      </c>
      <c r="U171">
        <v>6301742.21439947</v>
      </c>
      <c r="V171" s="6">
        <f t="shared" si="14"/>
        <v>6372758.7737746192</v>
      </c>
      <c r="AN171" s="6"/>
    </row>
    <row r="172" spans="20:40" x14ac:dyDescent="0.3">
      <c r="T172">
        <v>164</v>
      </c>
      <c r="U172">
        <v>6327523.43777603</v>
      </c>
      <c r="V172" s="6">
        <f t="shared" si="14"/>
        <v>6402063.4088018481</v>
      </c>
      <c r="AN172" s="6"/>
    </row>
    <row r="173" spans="20:40" x14ac:dyDescent="0.3">
      <c r="T173">
        <v>165</v>
      </c>
      <c r="U173">
        <v>6350010.8821644504</v>
      </c>
      <c r="V173" s="6">
        <f t="shared" si="14"/>
        <v>6427838.6196319014</v>
      </c>
      <c r="AN173" s="6"/>
    </row>
    <row r="174" spans="20:40" x14ac:dyDescent="0.3">
      <c r="T174">
        <v>166</v>
      </c>
      <c r="U174">
        <v>6367948.98385044</v>
      </c>
      <c r="V174" s="6">
        <f t="shared" si="14"/>
        <v>6450053.0031407531</v>
      </c>
      <c r="AN174" s="6"/>
    </row>
    <row r="175" spans="20:40" x14ac:dyDescent="0.3">
      <c r="T175">
        <v>167</v>
      </c>
      <c r="U175">
        <v>6384393.2263487196</v>
      </c>
      <c r="V175" s="6">
        <f t="shared" si="14"/>
        <v>6468679.4945239592</v>
      </c>
      <c r="AN175" s="6"/>
    </row>
    <row r="176" spans="20:40" x14ac:dyDescent="0.3">
      <c r="T176">
        <v>168</v>
      </c>
      <c r="U176">
        <v>6396847.4259483796</v>
      </c>
      <c r="V176" s="6">
        <f t="shared" si="14"/>
        <v>6483695.4002709594</v>
      </c>
      <c r="AN176" s="6"/>
    </row>
    <row r="177" spans="20:40" x14ac:dyDescent="0.3">
      <c r="T177">
        <v>169</v>
      </c>
      <c r="U177">
        <v>6406667.7886138996</v>
      </c>
      <c r="V177" s="6">
        <f t="shared" si="14"/>
        <v>6495082.4258136246</v>
      </c>
      <c r="AN177" s="6"/>
    </row>
    <row r="178" spans="20:40" x14ac:dyDescent="0.3">
      <c r="T178">
        <v>170</v>
      </c>
      <c r="U178">
        <v>6411752.0242468202</v>
      </c>
      <c r="V178" s="6">
        <f t="shared" si="14"/>
        <v>6502826.6978153689</v>
      </c>
      <c r="AN178" s="6"/>
    </row>
    <row r="179" spans="20:40" x14ac:dyDescent="0.3">
      <c r="T179">
        <v>171</v>
      </c>
      <c r="U179">
        <v>6413331.8199406499</v>
      </c>
      <c r="V179" s="6">
        <f t="shared" si="14"/>
        <v>6506918.7810736708</v>
      </c>
      <c r="AN179" s="6"/>
    </row>
    <row r="180" spans="20:40" x14ac:dyDescent="0.3">
      <c r="T180">
        <v>172</v>
      </c>
      <c r="U180">
        <v>6411444.5788465403</v>
      </c>
      <c r="V180" s="6">
        <f t="shared" si="14"/>
        <v>6507353.6900154185</v>
      </c>
      <c r="AN180" s="6"/>
    </row>
    <row r="181" spans="20:40" x14ac:dyDescent="0.3">
      <c r="T181">
        <v>173</v>
      </c>
      <c r="U181">
        <v>6406252.0431991797</v>
      </c>
      <c r="V181" s="6">
        <f t="shared" si="14"/>
        <v>6504130.8947710562</v>
      </c>
      <c r="AN181" s="6"/>
    </row>
    <row r="182" spans="20:40" x14ac:dyDescent="0.3">
      <c r="T182">
        <v>174</v>
      </c>
      <c r="U182">
        <v>6396337.4223297602</v>
      </c>
      <c r="V182" s="6">
        <f t="shared" si="14"/>
        <v>6497254.3218201594</v>
      </c>
      <c r="AN182" s="6"/>
    </row>
    <row r="183" spans="20:40" x14ac:dyDescent="0.3">
      <c r="T183">
        <v>175</v>
      </c>
      <c r="U183">
        <v>6384237.4479219802</v>
      </c>
      <c r="V183" s="6">
        <f t="shared" si="14"/>
        <v>6486732.3492076108</v>
      </c>
      <c r="AN183" s="6"/>
    </row>
    <row r="184" spans="20:40" x14ac:dyDescent="0.3">
      <c r="T184">
        <v>176</v>
      </c>
      <c r="U184">
        <v>6369213.5109991301</v>
      </c>
      <c r="V184" s="6">
        <f t="shared" si="14"/>
        <v>6472577.796336255</v>
      </c>
      <c r="AN184" s="6"/>
    </row>
    <row r="185" spans="20:40" x14ac:dyDescent="0.3">
      <c r="T185">
        <v>177</v>
      </c>
      <c r="U185">
        <v>6351410.6793469498</v>
      </c>
      <c r="V185" s="6">
        <f t="shared" si="14"/>
        <v>6454807.9083484225</v>
      </c>
      <c r="AN185" s="6"/>
    </row>
    <row r="186" spans="20:40" x14ac:dyDescent="0.3">
      <c r="T186">
        <v>178</v>
      </c>
      <c r="U186">
        <v>6332002.0973892901</v>
      </c>
      <c r="V186" s="6">
        <f t="shared" si="14"/>
        <v>6433444.3351153862</v>
      </c>
      <c r="AN186" s="6"/>
    </row>
    <row r="187" spans="20:40" x14ac:dyDescent="0.3">
      <c r="T187">
        <v>179</v>
      </c>
      <c r="U187">
        <v>6309099.7946736198</v>
      </c>
      <c r="V187" s="6">
        <f t="shared" si="14"/>
        <v>6408513.1048603253</v>
      </c>
      <c r="AN187" s="6"/>
    </row>
    <row r="188" spans="20:40" x14ac:dyDescent="0.3">
      <c r="T188">
        <v>180</v>
      </c>
      <c r="U188">
        <v>6282828.2881879099</v>
      </c>
      <c r="V188" s="6">
        <f t="shared" si="14"/>
        <v>6380044.5924469419</v>
      </c>
      <c r="AN188" s="6"/>
    </row>
  </sheetData>
  <mergeCells count="17">
    <mergeCell ref="AP15:AQ15"/>
    <mergeCell ref="BD5:BG6"/>
    <mergeCell ref="BH7:BI7"/>
    <mergeCell ref="BH12:BI12"/>
    <mergeCell ref="BH15:BI15"/>
    <mergeCell ref="A1:H2"/>
    <mergeCell ref="E6:F6"/>
    <mergeCell ref="AL5:AO6"/>
    <mergeCell ref="AP7:AQ7"/>
    <mergeCell ref="AP12:AQ12"/>
    <mergeCell ref="X15:Y15"/>
    <mergeCell ref="E14:F14"/>
    <mergeCell ref="X7:Y7"/>
    <mergeCell ref="A4:D5"/>
    <mergeCell ref="T5:W6"/>
    <mergeCell ref="X12:Y12"/>
    <mergeCell ref="E11:F1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 De Borger</dc:creator>
  <cp:lastModifiedBy>Des De Borger</cp:lastModifiedBy>
  <dcterms:created xsi:type="dcterms:W3CDTF">2026-09-01T15:27:05Z</dcterms:created>
  <dcterms:modified xsi:type="dcterms:W3CDTF">2026-09-02T15:13:23Z</dcterms:modified>
</cp:coreProperties>
</file>