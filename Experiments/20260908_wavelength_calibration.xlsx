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guser\Documents\GitHub\CDspectrometer\Experiments\"/>
    </mc:Choice>
  </mc:AlternateContent>
  <xr:revisionPtr revIDLastSave="0" documentId="13_ncr:1_{50F20C75-E30B-4523-924C-2D3BB8E16FB4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Wavelength Calibr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1" l="1" a="1"/>
  <c r="P5" i="1" s="1"/>
  <c r="P9" i="1"/>
  <c r="F11" i="1"/>
  <c r="F9" i="1"/>
  <c r="F8" i="1"/>
  <c r="F7" i="1"/>
  <c r="F6" i="1"/>
  <c r="F5" i="1"/>
  <c r="P7" i="1" l="1" a="1"/>
  <c r="P8" i="1" a="1"/>
  <c r="P6" i="1" a="1"/>
  <c r="D15" i="1"/>
  <c r="D12" i="1"/>
  <c r="D14" i="1"/>
  <c r="D13" i="1"/>
  <c r="D8" i="1"/>
  <c r="D11" i="1"/>
  <c r="D9" i="1"/>
  <c r="D10" i="1"/>
  <c r="D7" i="1"/>
  <c r="D6" i="1"/>
  <c r="D5" i="1"/>
  <c r="D16" i="1"/>
  <c r="P8" i="1" l="1"/>
  <c r="P7" i="1"/>
  <c r="P6" i="1"/>
  <c r="N8" i="1" l="1"/>
  <c r="N12" i="1"/>
  <c r="N21" i="1"/>
  <c r="N16" i="1"/>
  <c r="N15" i="1"/>
  <c r="N19" i="1"/>
  <c r="N14" i="1"/>
  <c r="N25" i="1"/>
  <c r="N23" i="1"/>
  <c r="N13" i="1"/>
  <c r="N11" i="1"/>
  <c r="N18" i="1"/>
  <c r="N10" i="1"/>
  <c r="N6" i="1"/>
  <c r="N5" i="1"/>
  <c r="N24" i="1"/>
  <c r="N7" i="1"/>
  <c r="N9" i="1"/>
  <c r="N22" i="1"/>
  <c r="N20" i="1"/>
  <c r="N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<sst xmlns="http://schemas.openxmlformats.org/spreadsheetml/2006/main" count="21" uniqueCount="12">
  <si>
    <t>Pixel Number (X)</t>
  </si>
  <si>
    <t>Wavelength [nm] (Y)</t>
  </si>
  <si>
    <t>Fitted Wavelength [nm]</t>
  </si>
  <si>
    <t>a3 (x^3 coeff.)</t>
  </si>
  <si>
    <t>a2 (x^2 coeff.)</t>
  </si>
  <si>
    <t>a1 (x coeff.)</t>
  </si>
  <si>
    <t>a0 (constant)</t>
  </si>
  <si>
    <t>R² (fit quality)</t>
  </si>
  <si>
    <t>N (points used)</t>
  </si>
  <si>
    <t>Wavelength Calibration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</si>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</sst>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2" fontId="4" fillId="0" borderId="1" xfId="0" applyNumberFormat="1" applyFont="1" applyBorder="1"/>
    <xf numFmtId="0" fontId="4" fillId="0" borderId="0" xfId="0" applyFont="1"/>
    <xf numFmtId="164" fontId="4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0" fontId="4" fillId="3" borderId="2" xfId="0" applyFont="1" applyFill="1" applyBorder="1"/>
    <xf numFmtId="2" fontId="6" fillId="0" borderId="0" xfId="0" applyNumberFormat="1" applyFont="1"/>
  </cellXfs>
  <cellStyles count="1">
    <cellStyle name="Normal" xfId="0" builtinId="0"/>
  </cellStyles>
  <dxfs count="3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FFFF00"/>
          <bgColor rgb="FFFFFF0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FFFF00"/>
          <bgColor rgb="FFFFFF00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'Wavelength Calibration'!$C$4</c:f>
              <c:strCache>
                <c:ptCount val="1"/>
                <c:pt idx="0">
                  <c:v>Wavelength [nm]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Calibration'!$C$5:$C$16</c:f>
              <c:numCache>
                <c:formatCode>General</c:formatCode>
                <c:ptCount val="12"/>
                <c:pt idx="0">
                  <c:v>253.7</c:v>
                </c:pt>
                <c:pt idx="1">
                  <c:v>313.2</c:v>
                </c:pt>
                <c:pt idx="2">
                  <c:v>365</c:v>
                </c:pt>
                <c:pt idx="3">
                  <c:v>404.7</c:v>
                </c:pt>
                <c:pt idx="4">
                  <c:v>435.8</c:v>
                </c:pt>
                <c:pt idx="5">
                  <c:v>546.1</c:v>
                </c:pt>
                <c:pt idx="6">
                  <c:v>577</c:v>
                </c:pt>
                <c:pt idx="7">
                  <c:v>579.1</c:v>
                </c:pt>
                <c:pt idx="8">
                  <c:v>696.5</c:v>
                </c:pt>
                <c:pt idx="9">
                  <c:v>763.5</c:v>
                </c:pt>
                <c:pt idx="10">
                  <c:v>811.5</c:v>
                </c:pt>
                <c:pt idx="11">
                  <c:v>912.3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D8-4A54-BDC7-63F10620988E}"/>
            </c:ext>
          </c:extLst>
        </c:ser>
        <c:ser>
          <c:idx val="1"/>
          <c:order val="1"/>
          <c:tx>
            <c:strRef>
              <c:f>'Wavelength Calibration'!$D$4</c:f>
              <c:strCache>
                <c:ptCount val="1"/>
                <c:pt idx="0">
                  <c:v>Fitted Wavelength 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Calibration'!$B$5:$B$16</c:f>
              <c:numCache>
                <c:formatCode>General</c:formatCode>
                <c:ptCount val="12"/>
                <c:pt idx="0">
                  <c:v>348</c:v>
                </c:pt>
                <c:pt idx="1">
                  <c:v>465</c:v>
                </c:pt>
                <c:pt idx="2">
                  <c:v>567</c:v>
                </c:pt>
                <c:pt idx="3">
                  <c:v>643</c:v>
                </c:pt>
                <c:pt idx="4">
                  <c:v>703</c:v>
                </c:pt>
                <c:pt idx="5">
                  <c:v>910</c:v>
                </c:pt>
                <c:pt idx="6">
                  <c:v>967</c:v>
                </c:pt>
                <c:pt idx="7">
                  <c:v>971</c:v>
                </c:pt>
                <c:pt idx="8">
                  <c:v>1186</c:v>
                </c:pt>
                <c:pt idx="9">
                  <c:v>1306</c:v>
                </c:pt>
                <c:pt idx="10">
                  <c:v>1392</c:v>
                </c:pt>
                <c:pt idx="11">
                  <c:v>1570</c:v>
                </c:pt>
              </c:numCache>
            </c:numRef>
          </c:xVal>
          <c:yVal>
            <c:numRef>
              <c:f>'Wavelength Calibration'!$D$5:$D$16</c:f>
              <c:numCache>
                <c:formatCode>0.00</c:formatCode>
                <c:ptCount val="12"/>
                <c:pt idx="0">
                  <c:v>253.81293395756239</c:v>
                </c:pt>
                <c:pt idx="1">
                  <c:v>312.88200466473074</c:v>
                </c:pt>
                <c:pt idx="2">
                  <c:v>365.18213296559122</c:v>
                </c:pt>
                <c:pt idx="3">
                  <c:v>404.61694970064468</c:v>
                </c:pt>
                <c:pt idx="4">
                  <c:v>436.0207115321482</c:v>
                </c:pt>
                <c:pt idx="5">
                  <c:v>546.10038647810507</c:v>
                </c:pt>
                <c:pt idx="6">
                  <c:v>576.85959026523358</c:v>
                </c:pt>
                <c:pt idx="7">
                  <c:v>579.02504433965544</c:v>
                </c:pt>
                <c:pt idx="8">
                  <c:v>696.68449573958389</c:v>
                </c:pt>
                <c:pt idx="9">
                  <c:v>763.36491489377624</c:v>
                </c:pt>
                <c:pt idx="10">
                  <c:v>811.55874973639027</c:v>
                </c:pt>
                <c:pt idx="11">
                  <c:v>912.29208572657831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D8-4A54-BDC7-63F10620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'Wavelength Calibration'!$C$4</c:f>
              <c:strCache>
                <c:ptCount val="1"/>
                <c:pt idx="0">
                  <c:v>Wavelength [nm]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Calibration'!$L$5:$L$25</c:f>
              <c:numCache>
                <c:formatCode>General</c:formatCode>
                <c:ptCount val="21"/>
                <c:pt idx="0">
                  <c:v>1786</c:v>
                </c:pt>
                <c:pt idx="1">
                  <c:v>1708</c:v>
                </c:pt>
                <c:pt idx="2">
                  <c:v>1631</c:v>
                </c:pt>
                <c:pt idx="3">
                  <c:v>1504</c:v>
                </c:pt>
                <c:pt idx="4">
                  <c:v>1425</c:v>
                </c:pt>
                <c:pt idx="5">
                  <c:v>1338</c:v>
                </c:pt>
                <c:pt idx="6">
                  <c:v>1248</c:v>
                </c:pt>
                <c:pt idx="7">
                  <c:v>1153</c:v>
                </c:pt>
                <c:pt idx="8">
                  <c:v>1050</c:v>
                </c:pt>
                <c:pt idx="9">
                  <c:v>608</c:v>
                </c:pt>
                <c:pt idx="10">
                  <c:v>1442</c:v>
                </c:pt>
                <c:pt idx="11">
                  <c:v>2643</c:v>
                </c:pt>
                <c:pt idx="12">
                  <c:v>1892</c:v>
                </c:pt>
                <c:pt idx="13">
                  <c:v>2025</c:v>
                </c:pt>
                <c:pt idx="14">
                  <c:v>2096</c:v>
                </c:pt>
                <c:pt idx="15">
                  <c:v>2159</c:v>
                </c:pt>
                <c:pt idx="16">
                  <c:v>2237</c:v>
                </c:pt>
                <c:pt idx="17">
                  <c:v>2293</c:v>
                </c:pt>
                <c:pt idx="18">
                  <c:v>2358</c:v>
                </c:pt>
                <c:pt idx="19">
                  <c:v>2441</c:v>
                </c:pt>
                <c:pt idx="20">
                  <c:v>2504</c:v>
                </c:pt>
              </c:numCache>
            </c:numRef>
          </c:xVal>
          <c:yVal>
            <c:numRef>
              <c:f>'Wavelength Calibration'!$M$5:$M$25</c:f>
              <c:numCache>
                <c:formatCode>General</c:formatCode>
                <c:ptCount val="21"/>
                <c:pt idx="0">
                  <c:v>650</c:v>
                </c:pt>
                <c:pt idx="1">
                  <c:v>627</c:v>
                </c:pt>
                <c:pt idx="2">
                  <c:v>604</c:v>
                </c:pt>
                <c:pt idx="3">
                  <c:v>568</c:v>
                </c:pt>
                <c:pt idx="4">
                  <c:v>545</c:v>
                </c:pt>
                <c:pt idx="5">
                  <c:v>520</c:v>
                </c:pt>
                <c:pt idx="6">
                  <c:v>495</c:v>
                </c:pt>
                <c:pt idx="7">
                  <c:v>468</c:v>
                </c:pt>
                <c:pt idx="8">
                  <c:v>440</c:v>
                </c:pt>
                <c:pt idx="9">
                  <c:v>320</c:v>
                </c:pt>
                <c:pt idx="10">
                  <c:v>550</c:v>
                </c:pt>
                <c:pt idx="11">
                  <c:v>900</c:v>
                </c:pt>
                <c:pt idx="12">
                  <c:v>680</c:v>
                </c:pt>
                <c:pt idx="13">
                  <c:v>720</c:v>
                </c:pt>
                <c:pt idx="14">
                  <c:v>740</c:v>
                </c:pt>
                <c:pt idx="15">
                  <c:v>760</c:v>
                </c:pt>
                <c:pt idx="16">
                  <c:v>785</c:v>
                </c:pt>
                <c:pt idx="17">
                  <c:v>800</c:v>
                </c:pt>
                <c:pt idx="18">
                  <c:v>820</c:v>
                </c:pt>
                <c:pt idx="19">
                  <c:v>840</c:v>
                </c:pt>
                <c:pt idx="20">
                  <c:v>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E-44AC-8542-1EE52D3E7114}"/>
            </c:ext>
          </c:extLst>
        </c:ser>
        <c:ser>
          <c:idx val="1"/>
          <c:order val="1"/>
          <c:tx>
            <c:strRef>
              <c:f>'Wavelength Calibration'!$D$4</c:f>
              <c:strCache>
                <c:ptCount val="1"/>
                <c:pt idx="0">
                  <c:v>Fitted Wavelength 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Calibration'!$L$5:$L$25</c:f>
              <c:numCache>
                <c:formatCode>General</c:formatCode>
                <c:ptCount val="21"/>
                <c:pt idx="0">
                  <c:v>1786</c:v>
                </c:pt>
                <c:pt idx="1">
                  <c:v>1708</c:v>
                </c:pt>
                <c:pt idx="2">
                  <c:v>1631</c:v>
                </c:pt>
                <c:pt idx="3">
                  <c:v>1504</c:v>
                </c:pt>
                <c:pt idx="4">
                  <c:v>1425</c:v>
                </c:pt>
                <c:pt idx="5">
                  <c:v>1338</c:v>
                </c:pt>
                <c:pt idx="6">
                  <c:v>1248</c:v>
                </c:pt>
                <c:pt idx="7">
                  <c:v>1153</c:v>
                </c:pt>
                <c:pt idx="8">
                  <c:v>1050</c:v>
                </c:pt>
                <c:pt idx="9">
                  <c:v>608</c:v>
                </c:pt>
                <c:pt idx="10">
                  <c:v>1442</c:v>
                </c:pt>
                <c:pt idx="11">
                  <c:v>2643</c:v>
                </c:pt>
                <c:pt idx="12">
                  <c:v>1892</c:v>
                </c:pt>
                <c:pt idx="13">
                  <c:v>2025</c:v>
                </c:pt>
                <c:pt idx="14">
                  <c:v>2096</c:v>
                </c:pt>
                <c:pt idx="15">
                  <c:v>2159</c:v>
                </c:pt>
                <c:pt idx="16">
                  <c:v>2237</c:v>
                </c:pt>
                <c:pt idx="17">
                  <c:v>2293</c:v>
                </c:pt>
                <c:pt idx="18">
                  <c:v>2358</c:v>
                </c:pt>
                <c:pt idx="19">
                  <c:v>2441</c:v>
                </c:pt>
                <c:pt idx="20">
                  <c:v>2504</c:v>
                </c:pt>
              </c:numCache>
            </c:numRef>
          </c:xVal>
          <c:yVal>
            <c:numRef>
              <c:f>'Wavelength Calibration'!$N$5:$N$25</c:f>
              <c:numCache>
                <c:formatCode>0.00</c:formatCode>
                <c:ptCount val="21"/>
                <c:pt idx="0">
                  <c:v>650.03276004180066</c:v>
                </c:pt>
                <c:pt idx="1">
                  <c:v>627.1847693852128</c:v>
                </c:pt>
                <c:pt idx="2">
                  <c:v>604.70760872358369</c:v>
                </c:pt>
                <c:pt idx="3">
                  <c:v>567.84276347277819</c:v>
                </c:pt>
                <c:pt idx="4">
                  <c:v>545.06609476029848</c:v>
                </c:pt>
                <c:pt idx="5">
                  <c:v>520.1429323463351</c:v>
                </c:pt>
                <c:pt idx="6">
                  <c:v>494.55847390899987</c:v>
                </c:pt>
                <c:pt idx="7">
                  <c:v>467.79659802212143</c:v>
                </c:pt>
                <c:pt idx="8">
                  <c:v>439.09531701939909</c:v>
                </c:pt>
                <c:pt idx="9">
                  <c:v>320.46001396605635</c:v>
                </c:pt>
                <c:pt idx="10">
                  <c:v>549.95630733104258</c:v>
                </c:pt>
                <c:pt idx="11">
                  <c:v>901.99658378509093</c:v>
                </c:pt>
                <c:pt idx="12">
                  <c:v>681.18290386702029</c:v>
                </c:pt>
                <c:pt idx="13">
                  <c:v>720.3775475563009</c:v>
                </c:pt>
                <c:pt idx="14">
                  <c:v>741.32732105236005</c:v>
                </c:pt>
                <c:pt idx="15">
                  <c:v>759.91993858473984</c:v>
                </c:pt>
                <c:pt idx="16">
                  <c:v>782.93140718226323</c:v>
                </c:pt>
                <c:pt idx="17">
                  <c:v>799.43918663319619</c:v>
                </c:pt>
                <c:pt idx="18">
                  <c:v>818.57778583596132</c:v>
                </c:pt>
                <c:pt idx="19">
                  <c:v>842.96831284636028</c:v>
                </c:pt>
                <c:pt idx="20">
                  <c:v>861.43537367907629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FE-44AC-8542-1EE52D3E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Wavelength vs Pixel: Data vs Cubic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2"/>
          <c:tx>
            <c:v>CD calibration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Calibration'!$L$5:$L$25</c:f>
              <c:numCache>
                <c:formatCode>General</c:formatCode>
                <c:ptCount val="21"/>
                <c:pt idx="0">
                  <c:v>1786</c:v>
                </c:pt>
                <c:pt idx="1">
                  <c:v>1708</c:v>
                </c:pt>
                <c:pt idx="2">
                  <c:v>1631</c:v>
                </c:pt>
                <c:pt idx="3">
                  <c:v>1504</c:v>
                </c:pt>
                <c:pt idx="4">
                  <c:v>1425</c:v>
                </c:pt>
                <c:pt idx="5">
                  <c:v>1338</c:v>
                </c:pt>
                <c:pt idx="6">
                  <c:v>1248</c:v>
                </c:pt>
                <c:pt idx="7">
                  <c:v>1153</c:v>
                </c:pt>
                <c:pt idx="8">
                  <c:v>1050</c:v>
                </c:pt>
                <c:pt idx="9">
                  <c:v>608</c:v>
                </c:pt>
                <c:pt idx="10">
                  <c:v>1442</c:v>
                </c:pt>
                <c:pt idx="11">
                  <c:v>2643</c:v>
                </c:pt>
                <c:pt idx="12">
                  <c:v>1892</c:v>
                </c:pt>
                <c:pt idx="13">
                  <c:v>2025</c:v>
                </c:pt>
                <c:pt idx="14">
                  <c:v>2096</c:v>
                </c:pt>
                <c:pt idx="15">
                  <c:v>2159</c:v>
                </c:pt>
                <c:pt idx="16">
                  <c:v>2237</c:v>
                </c:pt>
                <c:pt idx="17">
                  <c:v>2293</c:v>
                </c:pt>
                <c:pt idx="18">
                  <c:v>2358</c:v>
                </c:pt>
                <c:pt idx="19">
                  <c:v>2441</c:v>
                </c:pt>
                <c:pt idx="20">
                  <c:v>2504</c:v>
                </c:pt>
              </c:numCache>
            </c:numRef>
          </c:xVal>
          <c:yVal>
            <c:numRef>
              <c:f>'Wavelength Calibration'!$M$5:$M$25</c:f>
              <c:numCache>
                <c:formatCode>General</c:formatCode>
                <c:ptCount val="21"/>
                <c:pt idx="0">
                  <c:v>650</c:v>
                </c:pt>
                <c:pt idx="1">
                  <c:v>627</c:v>
                </c:pt>
                <c:pt idx="2">
                  <c:v>604</c:v>
                </c:pt>
                <c:pt idx="3">
                  <c:v>568</c:v>
                </c:pt>
                <c:pt idx="4">
                  <c:v>545</c:v>
                </c:pt>
                <c:pt idx="5">
                  <c:v>520</c:v>
                </c:pt>
                <c:pt idx="6">
                  <c:v>495</c:v>
                </c:pt>
                <c:pt idx="7">
                  <c:v>468</c:v>
                </c:pt>
                <c:pt idx="8">
                  <c:v>440</c:v>
                </c:pt>
                <c:pt idx="9">
                  <c:v>320</c:v>
                </c:pt>
                <c:pt idx="10">
                  <c:v>550</c:v>
                </c:pt>
                <c:pt idx="11">
                  <c:v>900</c:v>
                </c:pt>
                <c:pt idx="12">
                  <c:v>680</c:v>
                </c:pt>
                <c:pt idx="13">
                  <c:v>720</c:v>
                </c:pt>
                <c:pt idx="14">
                  <c:v>740</c:v>
                </c:pt>
                <c:pt idx="15">
                  <c:v>760</c:v>
                </c:pt>
                <c:pt idx="16">
                  <c:v>785</c:v>
                </c:pt>
                <c:pt idx="17">
                  <c:v>800</c:v>
                </c:pt>
                <c:pt idx="18">
                  <c:v>820</c:v>
                </c:pt>
                <c:pt idx="19">
                  <c:v>840</c:v>
                </c:pt>
                <c:pt idx="20">
                  <c:v>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21-41A1-8AD8-24EF512C9E61}"/>
            </c:ext>
          </c:extLst>
        </c:ser>
        <c:ser>
          <c:idx val="1"/>
          <c:order val="3"/>
          <c:tx>
            <c:v>CD calibration fit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'Wavelength Calibration'!$L$5:$L$25</c:f>
              <c:numCache>
                <c:formatCode>General</c:formatCode>
                <c:ptCount val="21"/>
                <c:pt idx="0">
                  <c:v>1786</c:v>
                </c:pt>
                <c:pt idx="1">
                  <c:v>1708</c:v>
                </c:pt>
                <c:pt idx="2">
                  <c:v>1631</c:v>
                </c:pt>
                <c:pt idx="3">
                  <c:v>1504</c:v>
                </c:pt>
                <c:pt idx="4">
                  <c:v>1425</c:v>
                </c:pt>
                <c:pt idx="5">
                  <c:v>1338</c:v>
                </c:pt>
                <c:pt idx="6">
                  <c:v>1248</c:v>
                </c:pt>
                <c:pt idx="7">
                  <c:v>1153</c:v>
                </c:pt>
                <c:pt idx="8">
                  <c:v>1050</c:v>
                </c:pt>
                <c:pt idx="9">
                  <c:v>608</c:v>
                </c:pt>
                <c:pt idx="10">
                  <c:v>1442</c:v>
                </c:pt>
                <c:pt idx="11">
                  <c:v>2643</c:v>
                </c:pt>
                <c:pt idx="12">
                  <c:v>1892</c:v>
                </c:pt>
                <c:pt idx="13">
                  <c:v>2025</c:v>
                </c:pt>
                <c:pt idx="14">
                  <c:v>2096</c:v>
                </c:pt>
                <c:pt idx="15">
                  <c:v>2159</c:v>
                </c:pt>
                <c:pt idx="16">
                  <c:v>2237</c:v>
                </c:pt>
                <c:pt idx="17">
                  <c:v>2293</c:v>
                </c:pt>
                <c:pt idx="18">
                  <c:v>2358</c:v>
                </c:pt>
                <c:pt idx="19">
                  <c:v>2441</c:v>
                </c:pt>
                <c:pt idx="20">
                  <c:v>2504</c:v>
                </c:pt>
              </c:numCache>
            </c:numRef>
          </c:xVal>
          <c:yVal>
            <c:numRef>
              <c:f>'Wavelength Calibration'!$N$5:$N$25</c:f>
              <c:numCache>
                <c:formatCode>0.00</c:formatCode>
                <c:ptCount val="21"/>
                <c:pt idx="0">
                  <c:v>650.03276004180066</c:v>
                </c:pt>
                <c:pt idx="1">
                  <c:v>627.1847693852128</c:v>
                </c:pt>
                <c:pt idx="2">
                  <c:v>604.70760872358369</c:v>
                </c:pt>
                <c:pt idx="3">
                  <c:v>567.84276347277819</c:v>
                </c:pt>
                <c:pt idx="4">
                  <c:v>545.06609476029848</c:v>
                </c:pt>
                <c:pt idx="5">
                  <c:v>520.1429323463351</c:v>
                </c:pt>
                <c:pt idx="6">
                  <c:v>494.55847390899987</c:v>
                </c:pt>
                <c:pt idx="7">
                  <c:v>467.79659802212143</c:v>
                </c:pt>
                <c:pt idx="8">
                  <c:v>439.09531701939909</c:v>
                </c:pt>
                <c:pt idx="9">
                  <c:v>320.46001396605635</c:v>
                </c:pt>
                <c:pt idx="10">
                  <c:v>549.95630733104258</c:v>
                </c:pt>
                <c:pt idx="11">
                  <c:v>901.99658378509093</c:v>
                </c:pt>
                <c:pt idx="12">
                  <c:v>681.18290386702029</c:v>
                </c:pt>
                <c:pt idx="13">
                  <c:v>720.3775475563009</c:v>
                </c:pt>
                <c:pt idx="14">
                  <c:v>741.32732105236005</c:v>
                </c:pt>
                <c:pt idx="15">
                  <c:v>759.91993858473984</c:v>
                </c:pt>
                <c:pt idx="16">
                  <c:v>782.93140718226323</c:v>
                </c:pt>
                <c:pt idx="17">
                  <c:v>799.43918663319619</c:v>
                </c:pt>
                <c:pt idx="18">
                  <c:v>818.57778583596132</c:v>
                </c:pt>
                <c:pt idx="19">
                  <c:v>842.96831284636028</c:v>
                </c:pt>
                <c:pt idx="20">
                  <c:v>861.43537367907629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C21-41A1-8AD8-24EF512C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010"/>
        <c:axId val="271080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Built in calibration data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'Wavelength Calibration'!$B$5:$B$16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348</c:v>
                      </c:pt>
                      <c:pt idx="1">
                        <c:v>465</c:v>
                      </c:pt>
                      <c:pt idx="2">
                        <c:v>567</c:v>
                      </c:pt>
                      <c:pt idx="3">
                        <c:v>643</c:v>
                      </c:pt>
                      <c:pt idx="4">
                        <c:v>703</c:v>
                      </c:pt>
                      <c:pt idx="5">
                        <c:v>910</c:v>
                      </c:pt>
                      <c:pt idx="6">
                        <c:v>967</c:v>
                      </c:pt>
                      <c:pt idx="7">
                        <c:v>971</c:v>
                      </c:pt>
                      <c:pt idx="8">
                        <c:v>1186</c:v>
                      </c:pt>
                      <c:pt idx="9">
                        <c:v>1306</c:v>
                      </c:pt>
                      <c:pt idx="10">
                        <c:v>1392</c:v>
                      </c:pt>
                      <c:pt idx="11">
                        <c:v>1570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'Wavelength Calibration'!$C$5:$C$16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253.7</c:v>
                      </c:pt>
                      <c:pt idx="1">
                        <c:v>313.2</c:v>
                      </c:pt>
                      <c:pt idx="2">
                        <c:v>365</c:v>
                      </c:pt>
                      <c:pt idx="3">
                        <c:v>404.7</c:v>
                      </c:pt>
                      <c:pt idx="4">
                        <c:v>435.8</c:v>
                      </c:pt>
                      <c:pt idx="5">
                        <c:v>546.1</c:v>
                      </c:pt>
                      <c:pt idx="6">
                        <c:v>577</c:v>
                      </c:pt>
                      <c:pt idx="7">
                        <c:v>579.1</c:v>
                      </c:pt>
                      <c:pt idx="8">
                        <c:v>696.5</c:v>
                      </c:pt>
                      <c:pt idx="9">
                        <c:v>763.5</c:v>
                      </c:pt>
                      <c:pt idx="10">
                        <c:v>811.5</c:v>
                      </c:pt>
                      <c:pt idx="11">
                        <c:v>912.3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FC21-41A1-8AD8-24EF512C9E61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v>Built in calibration fit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'Wavelength Calibration'!$B$5:$B$16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348</c:v>
                      </c:pt>
                      <c:pt idx="1">
                        <c:v>465</c:v>
                      </c:pt>
                      <c:pt idx="2">
                        <c:v>567</c:v>
                      </c:pt>
                      <c:pt idx="3">
                        <c:v>643</c:v>
                      </c:pt>
                      <c:pt idx="4">
                        <c:v>703</c:v>
                      </c:pt>
                      <c:pt idx="5">
                        <c:v>910</c:v>
                      </c:pt>
                      <c:pt idx="6">
                        <c:v>967</c:v>
                      </c:pt>
                      <c:pt idx="7">
                        <c:v>971</c:v>
                      </c:pt>
                      <c:pt idx="8">
                        <c:v>1186</c:v>
                      </c:pt>
                      <c:pt idx="9">
                        <c:v>1306</c:v>
                      </c:pt>
                      <c:pt idx="10">
                        <c:v>1392</c:v>
                      </c:pt>
                      <c:pt idx="11">
                        <c:v>1570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'Wavelength Calibration'!$D$5:$D$16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253.81293395756239</c:v>
                      </c:pt>
                      <c:pt idx="1">
                        <c:v>312.88200466473074</c:v>
                      </c:pt>
                      <c:pt idx="2">
                        <c:v>365.18213296559122</c:v>
                      </c:pt>
                      <c:pt idx="3">
                        <c:v>404.61694970064468</c:v>
                      </c:pt>
                      <c:pt idx="4">
                        <c:v>436.0207115321482</c:v>
                      </c:pt>
                      <c:pt idx="5">
                        <c:v>546.10038647810507</c:v>
                      </c:pt>
                      <c:pt idx="6">
                        <c:v>576.85959026523358</c:v>
                      </c:pt>
                      <c:pt idx="7">
                        <c:v>579.02504433965544</c:v>
                      </c:pt>
                      <c:pt idx="8">
                        <c:v>696.68449573958389</c:v>
                      </c:pt>
                      <c:pt idx="9">
                        <c:v>763.36491489377624</c:v>
                      </c:pt>
                      <c:pt idx="10">
                        <c:v>811.55874973639027</c:v>
                      </c:pt>
                      <c:pt idx="11">
                        <c:v>912.29208572657831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C21-41A1-8AD8-24EF512C9E61}"/>
                  </c:ext>
                </c:extLst>
              </c15:ser>
            </c15:filteredScatterSeries>
          </c:ext>
        </c:extLst>
      </c:scatterChart>
      <c:valAx>
        <c:axId val="72910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Pixel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7108011"/>
        <c:crosses val="autoZero"/>
        <c:crossBetween val="midCat"/>
      </c:valAx>
      <c:valAx>
        <c:axId val="27108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72910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3675</xdr:rowOff>
    </xdr:from>
    <xdr:to>
      <xdr:col>4</xdr:col>
      <xdr:colOff>972165</xdr:colOff>
      <xdr:row>60</xdr:row>
      <xdr:rowOff>174375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771525</xdr:colOff>
      <xdr:row>45</xdr:row>
      <xdr:rowOff>117975</xdr:rowOff>
    </xdr:from>
    <xdr:ext cx="6144240" cy="3599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4E355-298C-468C-8681-7C015AD18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11</xdr:col>
      <xdr:colOff>19559</xdr:colOff>
      <xdr:row>27</xdr:row>
      <xdr:rowOff>127284</xdr:rowOff>
    </xdr:from>
    <xdr:to>
      <xdr:col>15</xdr:col>
      <xdr:colOff>139494</xdr:colOff>
      <xdr:row>46</xdr:row>
      <xdr:rowOff>107482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F3E3F-85AF-4111-9A11-69741B4D2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ibData" displayName="CalibData" ref="B4:D16" totalsRowShown="0">
  <autoFilter ref="B4:D16" xr:uid="{00000000-0009-0000-0100-000001000000}"/>
  <tableColumns count="3">
    <tableColumn id="1" xr3:uid="{00000000-0010-0000-0000-000001000000}" name="Pixel Number (X)"/>
    <tableColumn id="2" xr3:uid="{00000000-0010-0000-0000-000002000000}" name="Wavelength [nm] (Y)"/>
    <tableColumn id="3" xr3:uid="{00000000-0010-0000-0000-000003000000}" name="Fitted Wavelength [nm]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18372-B583-42F4-8F4E-BE2AF50AAC7B}" name="CalibData3" displayName="CalibData3" ref="L4:P25" totalsRowShown="0">
  <autoFilter ref="L4:P25" xr:uid="{D9C18372-B583-42F4-8F4E-BE2AF50AAC7B}"/>
  <tableColumns count="5">
    <tableColumn id="1" xr3:uid="{10163724-6C7E-460B-BFF8-B4C78224821D}" name="Pixel Number (X)" dataDxfId="2"/>
    <tableColumn id="2" xr3:uid="{90881FAE-4CA8-4278-A028-53B6A49AAC38}" name="Wavelength [nm] (Y)" dataDxfId="1"/>
    <tableColumn id="3" xr3:uid="{78A89D84-58C0-415B-B8F1-DA850D4314FA}" name="Fitted Wavelength [nm]" dataDxfId="0">
      <calculatedColumnFormula>$P$5*L5^3 + $P$6*L5^2 + $P$7*L5 + $P$8</calculatedColumnFormula>
    </tableColumn>
    <tableColumn id="4" xr3:uid="{D45E345C-F212-4944-838D-31FF071230E9}" name="Column1"/>
    <tableColumn id="5" xr3:uid="{1CB649FE-346F-42D3-8E7E-39F4C9C980CA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6"/>
  <sheetViews>
    <sheetView tabSelected="1" topLeftCell="K1" zoomScale="85" zoomScaleNormal="85" workbookViewId="0">
      <selection activeCell="R18" sqref="R18"/>
    </sheetView>
  </sheetViews>
  <sheetFormatPr defaultColWidth="8.6640625" defaultRowHeight="14.4" x14ac:dyDescent="0.3"/>
  <cols>
    <col min="1" max="1" width="3" customWidth="1"/>
    <col min="2" max="2" width="32.5546875" bestFit="1" customWidth="1"/>
    <col min="3" max="3" width="17.6640625" bestFit="1" customWidth="1"/>
    <col min="4" max="4" width="24.33203125" bestFit="1" customWidth="1"/>
    <col min="5" max="5" width="15.33203125" bestFit="1" customWidth="1"/>
    <col min="6" max="6" width="12.5546875" customWidth="1"/>
    <col min="7" max="8" width="10" customWidth="1"/>
    <col min="12" max="12" width="17.109375" bestFit="1" customWidth="1"/>
    <col min="13" max="14" width="17.77734375" bestFit="1" customWidth="1"/>
    <col min="15" max="15" width="15.33203125" bestFit="1" customWidth="1"/>
    <col min="16" max="16" width="12.21875" bestFit="1" customWidth="1"/>
  </cols>
  <sheetData>
    <row r="2" spans="2:21" ht="17.399999999999999" x14ac:dyDescent="0.3">
      <c r="B2" s="1" t="s">
        <v>9</v>
      </c>
    </row>
    <row r="4" spans="2:21" ht="28.2" x14ac:dyDescent="0.3">
      <c r="B4" s="3" t="s">
        <v>0</v>
      </c>
      <c r="C4" s="3" t="s">
        <v>1</v>
      </c>
      <c r="D4" s="3" t="s">
        <v>2</v>
      </c>
      <c r="L4" s="3" t="s">
        <v>0</v>
      </c>
      <c r="M4" s="3" t="s">
        <v>1</v>
      </c>
      <c r="N4" s="3" t="s">
        <v>2</v>
      </c>
      <c r="O4" t="s">
        <v>10</v>
      </c>
      <c r="P4" t="s">
        <v>11</v>
      </c>
    </row>
    <row r="5" spans="2:21" x14ac:dyDescent="0.3">
      <c r="B5" s="4">
        <v>348</v>
      </c>
      <c r="C5" s="4">
        <v>253.7</v>
      </c>
      <c r="D5" s="5">
        <f t="shared" ref="D5:D16" ca="1" si="0">$F$5*B5^3 + $F$6*B5^2 + $F$7*B5 + $F$8</f>
        <v>253.81293395756239</v>
      </c>
      <c r="E5" s="6" t="s">
        <v>3</v>
      </c>
      <c r="F5" s="7">
        <f ca="1">INDEX(LINEST(OFFSET($C$5,0,0,COUNT($C$5:$C$4997),1),OFFSET($B$5,0,0,COUNT($B$5:$B$4997),1)^{1,2,3}),1,1)</f>
        <v>-5.2175232839925515E-9</v>
      </c>
      <c r="L5" s="4">
        <v>1786</v>
      </c>
      <c r="M5" s="4">
        <v>650</v>
      </c>
      <c r="N5" s="5">
        <f t="shared" ref="N5:N26" ca="1" si="1">$P$5*L5^3 + $P$6*L5^2 + $P$7*L5 + $P$8</f>
        <v>650.03276004180066</v>
      </c>
      <c r="O5" s="6" t="s">
        <v>3</v>
      </c>
      <c r="P5" s="7" cm="1">
        <f t="array" aca="1" ref="P5" ca="1">INDEX(LINEST(OFFSET($M$5,0,0,COUNT($M$5:$M$4997),1),OFFSET($L$5,0,0,COUNT($L$5:$L$4997),1)^{1,2,3}),1,1)</f>
        <v>-5.3047684080932583E-9</v>
      </c>
    </row>
    <row r="6" spans="2:21" x14ac:dyDescent="0.3">
      <c r="B6" s="4">
        <v>465</v>
      </c>
      <c r="C6" s="4">
        <v>313.2</v>
      </c>
      <c r="D6" s="5">
        <f t="shared" ca="1" si="0"/>
        <v>312.88200466473074</v>
      </c>
      <c r="E6" s="6" t="s">
        <v>4</v>
      </c>
      <c r="F6" s="7">
        <f ca="1">INDEX(LINEST(OFFSET($C$5,0,0,COUNT($C$5:$C$4997),1),OFFSET($B$5,0,0,COUNT($B$5:$B$4997),1)^{1,2,3}),1,2)</f>
        <v>4.3193349678799193E-5</v>
      </c>
      <c r="L6" s="4">
        <v>1708</v>
      </c>
      <c r="M6" s="4">
        <v>627</v>
      </c>
      <c r="N6" s="5">
        <f t="shared" ca="1" si="1"/>
        <v>627.1847693852128</v>
      </c>
      <c r="O6" s="6" t="s">
        <v>4</v>
      </c>
      <c r="P6" s="7" cm="1">
        <f t="array" aca="1" ref="P6" ca="1">INDEX(LINEST(OFFSET($M$5,0,0,COUNT($M$5:$M$4997),1),OFFSET($L$5,0,0,COUNT($L$5:$L$4997),1)^{1,2,3}),1,2)</f>
        <v>3.3714549136528136E-5</v>
      </c>
    </row>
    <row r="7" spans="2:21" x14ac:dyDescent="0.3">
      <c r="B7" s="4">
        <v>567</v>
      </c>
      <c r="C7" s="4">
        <v>365</v>
      </c>
      <c r="D7" s="5">
        <f t="shared" ca="1" si="0"/>
        <v>365.18213296559122</v>
      </c>
      <c r="E7" s="6" t="s">
        <v>5</v>
      </c>
      <c r="F7" s="7">
        <f ca="1">INDEX(LINEST(OFFSET($C$5,0,0,COUNT($C$5:$C$4997),1),OFFSET($B$5,0,0,COUNT($B$5:$B$4997),1)^{1,2,3}),1,3)</f>
        <v>0.4723519804388378</v>
      </c>
      <c r="L7" s="4">
        <v>1631</v>
      </c>
      <c r="M7" s="4">
        <v>604</v>
      </c>
      <c r="N7" s="5">
        <f t="shared" ca="1" si="1"/>
        <v>604.70760872358369</v>
      </c>
      <c r="O7" s="6" t="s">
        <v>5</v>
      </c>
      <c r="P7" s="7" cm="1">
        <f t="array" aca="1" ref="P7" ca="1">INDEX(LINEST(OFFSET($M$5,0,0,COUNT($M$5:$M$4997),1),OFFSET($L$5,0,0,COUNT($L$5:$L$4997),1)^{1,2,3}),1,3)</f>
        <v>0.22370299377870789</v>
      </c>
    </row>
    <row r="8" spans="2:21" x14ac:dyDescent="0.3">
      <c r="B8" s="4">
        <v>643</v>
      </c>
      <c r="C8" s="4">
        <v>404.7</v>
      </c>
      <c r="D8" s="5">
        <f t="shared" ca="1" si="0"/>
        <v>404.61694970064468</v>
      </c>
      <c r="E8" s="6" t="s">
        <v>6</v>
      </c>
      <c r="F8" s="7">
        <f ca="1">INDEX(LINEST(OFFSET($C$5,0,0,COUNT($C$5:$C$4997),1),OFFSET($B$5,0,0,COUNT($B$5:$B$4997),1)^{1,2,3}),1,4)</f>
        <v>84.423445648390597</v>
      </c>
      <c r="L8" s="4">
        <v>1504</v>
      </c>
      <c r="M8" s="4">
        <v>568</v>
      </c>
      <c r="N8" s="5">
        <f t="shared" ca="1" si="1"/>
        <v>567.84276347277819</v>
      </c>
      <c r="O8" s="6" t="s">
        <v>6</v>
      </c>
      <c r="P8" s="7" cm="1">
        <f t="array" aca="1" ref="P8" ca="1">INDEX(LINEST(OFFSET($M$5,0,0,COUNT($M$5:$M$4997),1),OFFSET($L$5,0,0,COUNT($L$5:$L$4997),1)^{1,2,3}),1,4)</f>
        <v>173.17781565715251</v>
      </c>
    </row>
    <row r="9" spans="2:21" x14ac:dyDescent="0.3">
      <c r="B9" s="4">
        <v>703</v>
      </c>
      <c r="C9" s="4">
        <v>435.8</v>
      </c>
      <c r="D9" s="5">
        <f t="shared" ca="1" si="0"/>
        <v>436.0207115321482</v>
      </c>
      <c r="E9" s="6" t="s">
        <v>7</v>
      </c>
      <c r="F9" s="7">
        <f ca="1">INDEX(LINEST(OFFSET($C$5,0,0,COUNT($C$5:$C$4997),1),OFFSET($B$5,0,0,COUNT($B$5:$B$4997),1)^{1,2,3},TRUE(),TRUE()),3,1)</f>
        <v>0.99999940906255913</v>
      </c>
      <c r="L9" s="4">
        <v>1425</v>
      </c>
      <c r="M9" s="4">
        <v>545</v>
      </c>
      <c r="N9" s="5">
        <f t="shared" ca="1" si="1"/>
        <v>545.06609476029848</v>
      </c>
      <c r="O9" s="6" t="s">
        <v>7</v>
      </c>
      <c r="P9" s="7">
        <f ca="1">INDEX(LINEST(OFFSET($C$5,0,0,COUNT($C$5:$C$4997),1),OFFSET($B$5,0,0,COUNT($B$5:$B$4997),1)^{1,2,3},TRUE(),TRUE()),3,1)</f>
        <v>0.99999940906255913</v>
      </c>
    </row>
    <row r="10" spans="2:21" x14ac:dyDescent="0.3">
      <c r="B10" s="4">
        <v>910</v>
      </c>
      <c r="C10" s="4">
        <v>546.1</v>
      </c>
      <c r="D10" s="5">
        <f t="shared" ca="1" si="0"/>
        <v>546.10038647810507</v>
      </c>
      <c r="L10" s="4">
        <v>1338</v>
      </c>
      <c r="M10" s="4">
        <v>520</v>
      </c>
      <c r="N10" s="5">
        <f t="shared" ca="1" si="1"/>
        <v>520.1429323463351</v>
      </c>
    </row>
    <row r="11" spans="2:21" x14ac:dyDescent="0.3">
      <c r="B11" s="4">
        <v>967</v>
      </c>
      <c r="C11" s="4">
        <v>577</v>
      </c>
      <c r="D11" s="5">
        <f t="shared" ca="1" si="0"/>
        <v>576.85959026523358</v>
      </c>
      <c r="E11" s="6" t="s">
        <v>8</v>
      </c>
      <c r="F11" s="8">
        <f>COUNT($B$5:$B$4997)</f>
        <v>12</v>
      </c>
      <c r="L11" s="4">
        <v>1248</v>
      </c>
      <c r="M11" s="4">
        <v>495</v>
      </c>
      <c r="N11" s="5">
        <f t="shared" ca="1" si="1"/>
        <v>494.55847390899987</v>
      </c>
      <c r="O11" s="6" t="s">
        <v>8</v>
      </c>
      <c r="P11" s="8">
        <v>4</v>
      </c>
    </row>
    <row r="12" spans="2:21" x14ac:dyDescent="0.3">
      <c r="B12" s="4">
        <v>971</v>
      </c>
      <c r="C12" s="4">
        <v>579.1</v>
      </c>
      <c r="D12" s="5">
        <f t="shared" ca="1" si="0"/>
        <v>579.02504433965544</v>
      </c>
      <c r="L12" s="4">
        <v>1153</v>
      </c>
      <c r="M12" s="4">
        <v>468</v>
      </c>
      <c r="N12" s="5">
        <f t="shared" ca="1" si="1"/>
        <v>467.79659802212143</v>
      </c>
    </row>
    <row r="13" spans="2:21" x14ac:dyDescent="0.3">
      <c r="B13" s="4">
        <v>1186</v>
      </c>
      <c r="C13" s="4">
        <v>696.5</v>
      </c>
      <c r="D13" s="5">
        <f t="shared" ca="1" si="0"/>
        <v>696.68449573958389</v>
      </c>
      <c r="E13" s="9"/>
      <c r="L13" s="4">
        <v>1050</v>
      </c>
      <c r="M13" s="4">
        <v>440</v>
      </c>
      <c r="N13" s="5">
        <f t="shared" ca="1" si="1"/>
        <v>439.09531701939909</v>
      </c>
      <c r="O13" s="9"/>
    </row>
    <row r="14" spans="2:21" x14ac:dyDescent="0.3">
      <c r="B14" s="4">
        <v>1306</v>
      </c>
      <c r="C14" s="4">
        <v>763.5</v>
      </c>
      <c r="D14" s="5">
        <f t="shared" ca="1" si="0"/>
        <v>763.36491489377624</v>
      </c>
      <c r="E14" s="2"/>
      <c r="F14" s="2"/>
      <c r="G14" s="2"/>
      <c r="H14" s="2"/>
      <c r="I14" s="2"/>
      <c r="J14" s="2"/>
      <c r="K14" s="2"/>
      <c r="L14" s="4">
        <v>608</v>
      </c>
      <c r="M14" s="4">
        <v>320</v>
      </c>
      <c r="N14" s="5">
        <f t="shared" ca="1" si="1"/>
        <v>320.46001396605635</v>
      </c>
      <c r="O14" s="2"/>
      <c r="P14" s="2"/>
      <c r="Q14" s="2"/>
      <c r="R14" s="2"/>
      <c r="S14" s="2"/>
      <c r="T14" s="2"/>
      <c r="U14" s="2"/>
    </row>
    <row r="15" spans="2:21" x14ac:dyDescent="0.3">
      <c r="B15" s="4">
        <v>1392</v>
      </c>
      <c r="C15" s="4">
        <v>811.5</v>
      </c>
      <c r="D15" s="5">
        <f t="shared" ca="1" si="0"/>
        <v>811.55874973639027</v>
      </c>
      <c r="E15" s="2"/>
      <c r="F15" s="2"/>
      <c r="G15" s="2"/>
      <c r="H15" s="2"/>
      <c r="I15" s="2"/>
      <c r="J15" s="2"/>
      <c r="K15" s="2"/>
      <c r="L15" s="4">
        <v>1442</v>
      </c>
      <c r="M15" s="4">
        <v>550</v>
      </c>
      <c r="N15" s="5">
        <f t="shared" ca="1" si="1"/>
        <v>549.95630733104258</v>
      </c>
      <c r="O15" s="2"/>
      <c r="P15" s="2"/>
      <c r="Q15" s="2"/>
      <c r="R15" s="2"/>
      <c r="S15" s="2"/>
      <c r="T15" s="2"/>
      <c r="U15" s="2"/>
    </row>
    <row r="16" spans="2:21" x14ac:dyDescent="0.3">
      <c r="B16" s="4">
        <v>1570</v>
      </c>
      <c r="C16" s="4">
        <v>912.3</v>
      </c>
      <c r="D16" s="5">
        <f t="shared" ca="1" si="0"/>
        <v>912.29208572657831</v>
      </c>
      <c r="L16" s="4">
        <v>2643</v>
      </c>
      <c r="M16" s="4">
        <v>900</v>
      </c>
      <c r="N16" s="5">
        <f t="shared" ca="1" si="1"/>
        <v>901.99658378509093</v>
      </c>
    </row>
    <row r="17" spans="12:14" x14ac:dyDescent="0.3">
      <c r="L17" s="4">
        <v>1892</v>
      </c>
      <c r="M17" s="4">
        <v>680</v>
      </c>
      <c r="N17" s="11">
        <f t="shared" ca="1" si="1"/>
        <v>681.18290386702029</v>
      </c>
    </row>
    <row r="18" spans="12:14" x14ac:dyDescent="0.3">
      <c r="L18" s="4">
        <v>2025</v>
      </c>
      <c r="M18" s="4">
        <v>720</v>
      </c>
      <c r="N18" s="11">
        <f t="shared" ca="1" si="1"/>
        <v>720.3775475563009</v>
      </c>
    </row>
    <row r="19" spans="12:14" x14ac:dyDescent="0.3">
      <c r="L19" s="4">
        <v>2096</v>
      </c>
      <c r="M19" s="4">
        <v>740</v>
      </c>
      <c r="N19" s="11">
        <f t="shared" ca="1" si="1"/>
        <v>741.32732105236005</v>
      </c>
    </row>
    <row r="20" spans="12:14" x14ac:dyDescent="0.3">
      <c r="L20" s="10">
        <v>2159</v>
      </c>
      <c r="M20" s="10">
        <v>760</v>
      </c>
      <c r="N20" s="11">
        <f t="shared" ca="1" si="1"/>
        <v>759.91993858473984</v>
      </c>
    </row>
    <row r="21" spans="12:14" x14ac:dyDescent="0.3">
      <c r="L21" s="4">
        <v>2237</v>
      </c>
      <c r="M21" s="4">
        <v>785</v>
      </c>
      <c r="N21" s="11">
        <f t="shared" ca="1" si="1"/>
        <v>782.93140718226323</v>
      </c>
    </row>
    <row r="22" spans="12:14" x14ac:dyDescent="0.3">
      <c r="L22" s="4">
        <v>2293</v>
      </c>
      <c r="M22" s="4">
        <v>800</v>
      </c>
      <c r="N22" s="11">
        <f t="shared" ca="1" si="1"/>
        <v>799.43918663319619</v>
      </c>
    </row>
    <row r="23" spans="12:14" x14ac:dyDescent="0.3">
      <c r="L23" s="10">
        <v>2358</v>
      </c>
      <c r="M23" s="10">
        <v>820</v>
      </c>
      <c r="N23" s="11">
        <f t="shared" ca="1" si="1"/>
        <v>818.57778583596132</v>
      </c>
    </row>
    <row r="24" spans="12:14" x14ac:dyDescent="0.3">
      <c r="L24" s="4">
        <v>2441</v>
      </c>
      <c r="M24" s="4">
        <v>840</v>
      </c>
      <c r="N24" s="11">
        <f t="shared" ca="1" si="1"/>
        <v>842.96831284636028</v>
      </c>
    </row>
    <row r="25" spans="12:14" x14ac:dyDescent="0.3">
      <c r="L25" s="4">
        <v>2504</v>
      </c>
      <c r="M25" s="4">
        <v>865</v>
      </c>
      <c r="N25" s="11">
        <f t="shared" ca="1" si="1"/>
        <v>861.43537367907629</v>
      </c>
    </row>
    <row r="26" spans="12:14" x14ac:dyDescent="0.3">
      <c r="L26" s="10"/>
      <c r="M26" s="10"/>
      <c r="N26" s="11"/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Wavelength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 De Borger</cp:lastModifiedBy>
  <cp:revision>1</cp:revision>
  <dcterms:created xsi:type="dcterms:W3CDTF">2026-08-31T09:18:45Z</dcterms:created>
  <dcterms:modified xsi:type="dcterms:W3CDTF">2026-09-08T16:13:53Z</dcterms:modified>
  <dc:language>en-US</dc:language>
</cp:coreProperties>
</file>