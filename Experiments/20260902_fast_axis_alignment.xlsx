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de\Documents\GitHub\CDspectrometer\CDcontrol_Python\"/>
    </mc:Choice>
  </mc:AlternateContent>
  <xr:revisionPtr revIDLastSave="0" documentId="8_{85297B32-4035-45D1-A556-883F9B8CC393}" xr6:coauthVersionLast="47" xr6:coauthVersionMax="47" xr10:uidLastSave="{00000000-0000-0000-0000-000000000000}"/>
  <bookViews>
    <workbookView xWindow="-120" yWindow="-120" windowWidth="29040" windowHeight="15720" xr2:uid="{8CAAB88A-E23D-45CC-85FD-D7BF5CB1DDD6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Sheet1!$D$19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 a="1"/>
  <c r="C5" i="1"/>
  <c r="C6" i="1"/>
  <c r="C7" i="1"/>
  <c r="C8" i="1"/>
  <c r="C9" i="1"/>
  <c r="C10" i="1"/>
  <c r="C11" i="1"/>
  <c r="C12" i="1"/>
  <c r="C13" i="1"/>
  <c r="C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<sst xmlns="http://schemas.openxmlformats.org/spreadsheetml/2006/main" count="10" uniqueCount="10">
  <si>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Cosine Fit for Fast Axis Alignment</t>
  </si>
  <si>
    <t>Angle</t>
  </si>
  <si>
    <t>Intensity</t>
  </si>
  <si>
    <t>Fit</t>
  </si>
  <si>
    <t>A</t>
  </si>
  <si>
    <t>θ</t>
  </si>
  <si>
    <t>Fitted Parameters</t>
  </si>
  <si>
    <t>Error</t>
  </si>
  <si>
    <t>SSE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</si>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</sst>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Cosine</a:t>
            </a:r>
            <a:r>
              <a:rPr lang="en-US" baseline="0"/>
              <a:t> Fit for Fast Axis Alignment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Sheet1!$A$5:$A$14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Sheet1!$B$5:$B$14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00-4ACB-B206-5B80845E3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24271"/>
        <c:axId val="1898780527"/>
      </c:scatterChart>
      <c:valAx>
        <c:axId val="211572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898780527"/>
        <c:crosses val="autoZero"/>
        <c:crossBetween val="midCat"/>
      </c:valAx>
      <c:valAx>
        <c:axId val="18987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11572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5</xdr:row>
      <xdr:rowOff>66675</xdr:rowOff>
    </xdr:from>
    <xdr:to>
      <xdr:col>17</xdr:col>
      <xdr:colOff>114299</xdr:colOff>
      <xdr:row>24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20FC46-4816-6662-8EE2-2E3609D32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4856F-9F4A-4977-B69B-6F2DF8E27E36}" name="Table1" displayName="Table1" ref="A4:C14" totalsRowShown="0">
  <autoFilter ref="A4:C14" xr:uid="{AA44856F-9F4A-4977-B69B-6F2DF8E27E36}"/>
  <tableColumns count="3">
    <tableColumn id="1" xr3:uid="{E0A9D73E-6B92-4E44-A50D-9BF6A14DA91C}" name="Angle"/>
    <tableColumn id="2" xr3:uid="{116383D3-2A6D-43EE-9A6C-C303363EC6BE}" name="Intensity"/>
    <tableColumn id="3" xr3:uid="{90E891A6-3B14-41CD-BF57-185C157F7BC7}" name="Fit" dataDxfId="0">
      <calculatedColumnFormula>$F$5*(COS(2*RADIANS($F$6))*COS(2*(RADIANS($F$6-A5)))) + $F$7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40B5-835A-4842-9E31-31B56C51F79B}">
  <dimension ref="A1:H18"/>
  <sheetViews>
    <sheetView tabSelected="1" workbookViewId="0">
      <selection activeCell="F22" sqref="F22"/>
    </sheetView>
  </sheetViews>
  <sheetFormatPr defaultRowHeight="15" x14ac:dyDescent="0.25"/>
  <cols>
    <col min="2" max="2" width="11.140625" customWidth="1"/>
    <col min="5" max="5" width="11.28515625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4" spans="1:8" x14ac:dyDescent="0.25">
      <c r="A4" t="s">
        <v>1</v>
      </c>
      <c r="B4" t="s">
        <v>2</v>
      </c>
      <c r="C4" t="s">
        <v>3</v>
      </c>
      <c r="E4" s="1" t="s">
        <v>6</v>
      </c>
      <c r="F4" s="1"/>
    </row>
    <row r="5" spans="1:8" x14ac:dyDescent="0.25">
      <c r="A5">
        <v>0</v>
      </c>
      <c r="B5">
        <v>0</v>
      </c>
      <c r="C5">
        <f t="shared" ref="C5:C14" si="0">$F$5*(COS(2*RADIANS($F$6))*COS(2*(RADIANS($F$6-A5)))) + $F$7</f>
        <v>1</v>
      </c>
      <c r="E5" s="3" t="s">
        <v>4</v>
      </c>
      <c r="F5">
        <v>1</v>
      </c>
    </row>
    <row r="6" spans="1:8" x14ac:dyDescent="0.25">
      <c r="A6">
        <v>10</v>
      </c>
      <c r="B6">
        <v>0</v>
      </c>
      <c r="C6">
        <f t="shared" si="0"/>
        <v>0.93969262078590832</v>
      </c>
      <c r="E6" s="3" t="s">
        <v>5</v>
      </c>
      <c r="F6">
        <v>90</v>
      </c>
    </row>
    <row r="7" spans="1:8" x14ac:dyDescent="0.25">
      <c r="A7">
        <v>20</v>
      </c>
      <c r="B7">
        <v>0</v>
      </c>
      <c r="C7">
        <f t="shared" si="0"/>
        <v>0.7660444431189779</v>
      </c>
      <c r="E7" s="3" t="s">
        <v>9</v>
      </c>
      <c r="F7">
        <v>0</v>
      </c>
    </row>
    <row r="8" spans="1:8" x14ac:dyDescent="0.25">
      <c r="A8">
        <v>30</v>
      </c>
      <c r="B8">
        <v>0</v>
      </c>
      <c r="C8">
        <f t="shared" si="0"/>
        <v>0.49999999999999978</v>
      </c>
    </row>
    <row r="9" spans="1:8" x14ac:dyDescent="0.25">
      <c r="A9">
        <v>40</v>
      </c>
      <c r="B9">
        <v>0</v>
      </c>
      <c r="C9">
        <f t="shared" si="0"/>
        <v>0.1736481776669303</v>
      </c>
      <c r="E9" s="1" t="s">
        <v>7</v>
      </c>
      <c r="F9" s="1"/>
    </row>
    <row r="10" spans="1:8" x14ac:dyDescent="0.25">
      <c r="A10">
        <v>50</v>
      </c>
      <c r="B10">
        <v>0</v>
      </c>
      <c r="C10">
        <f t="shared" si="0"/>
        <v>-0.17364817766693041</v>
      </c>
      <c r="E10" s="3" t="s">
        <v>8</v>
      </c>
      <c r="F10" cm="1">
        <f t="array" ref="F10">SUMSQ(Table1[Intensity]-Table1[Fit])</f>
        <v>5.5</v>
      </c>
    </row>
    <row r="11" spans="1:8" x14ac:dyDescent="0.25">
      <c r="A11">
        <v>60</v>
      </c>
      <c r="B11">
        <v>0</v>
      </c>
      <c r="C11">
        <f t="shared" si="0"/>
        <v>-0.50000000000000011</v>
      </c>
    </row>
    <row r="12" spans="1:8" x14ac:dyDescent="0.25">
      <c r="A12">
        <v>70</v>
      </c>
      <c r="B12">
        <v>0</v>
      </c>
      <c r="C12">
        <f t="shared" si="0"/>
        <v>-0.76604444311897801</v>
      </c>
    </row>
    <row r="13" spans="1:8" x14ac:dyDescent="0.25">
      <c r="A13">
        <v>80</v>
      </c>
      <c r="B13">
        <v>0</v>
      </c>
      <c r="C13">
        <f t="shared" si="0"/>
        <v>-0.93969262078590843</v>
      </c>
    </row>
    <row r="14" spans="1:8" x14ac:dyDescent="0.25">
      <c r="A14">
        <v>90</v>
      </c>
      <c r="B14">
        <v>0</v>
      </c>
      <c r="C14">
        <f t="shared" si="0"/>
        <v>-1</v>
      </c>
    </row>
    <row r="15" spans="1:8" x14ac:dyDescent="0.25">
      <c r="C15" s="4"/>
    </row>
    <row r="16" spans="1:8" x14ac:dyDescent="0.25">
      <c r="C16" s="4"/>
    </row>
    <row r="17" spans="3:3" x14ac:dyDescent="0.25">
      <c r="C17" s="4"/>
    </row>
    <row r="18" spans="3:3" x14ac:dyDescent="0.25">
      <c r="C18" s="4"/>
    </row>
  </sheetData>
  <mergeCells count="3">
    <mergeCell ref="A1:H2"/>
    <mergeCell ref="E4:F4"/>
    <mergeCell ref="E9:F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 De Borger</dc:creator>
  <cp:lastModifiedBy>Des De Borger</cp:lastModifiedBy>
  <dcterms:created xsi:type="dcterms:W3CDTF">2026-09-01T15:27:05Z</dcterms:created>
  <dcterms:modified xsi:type="dcterms:W3CDTF">2026-09-01T16:07:19Z</dcterms:modified>
</cp:coreProperties>
</file>